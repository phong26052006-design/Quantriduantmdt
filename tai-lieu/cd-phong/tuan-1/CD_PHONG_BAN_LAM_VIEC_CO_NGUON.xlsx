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ông việc Tuần 1" sheetId="1" state="visible" r:id="rId1"/>
    <sheet xmlns:r="http://schemas.openxmlformats.org/officeDocument/2006/relationships" name="Agenda họp 30 phút" sheetId="2" state="visible" r:id="rId2"/>
    <sheet xmlns:r="http://schemas.openxmlformats.org/officeDocument/2006/relationships" name="Vai trò thành viên" sheetId="3" state="visible" r:id="rId3"/>
    <sheet xmlns:r="http://schemas.openxmlformats.org/officeDocument/2006/relationships" name="CD_Đọc trước" sheetId="4" state="visible" r:id="rId4"/>
    <sheet xmlns:r="http://schemas.openxmlformats.org/officeDocument/2006/relationships" name="CD_Dữ kiện có nguồn" sheetId="5" state="visible" r:id="rId5"/>
    <sheet xmlns:r="http://schemas.openxmlformats.org/officeDocument/2006/relationships" name="CD_Cần nhóm cung cấp" sheetId="6" state="visible" r:id="rId6"/>
    <sheet xmlns:r="http://schemas.openxmlformats.org/officeDocument/2006/relationships" name="CD_Số nhóm đã nêu" sheetId="7" state="visible" r:id="rId7"/>
    <sheet xmlns:r="http://schemas.openxmlformats.org/officeDocument/2006/relationships" name="CD_Nội dung đã gỡ" sheetId="8" state="visible" r:id="rId8"/>
    <sheet xmlns:r="http://schemas.openxmlformats.org/officeDocument/2006/relationships" name="CD_Việc của Phong" sheetId="9" state="visible" r:id="rId9"/>
    <sheet xmlns:r="http://schemas.openxmlformats.org/officeDocument/2006/relationships" name="CD_8 tuần chờ lịch" sheetId="10" state="visible" r:id="rId10"/>
  </sheets>
  <definedNames>
    <definedName name="_xlnm._FilterDatabase" localSheetId="3" hidden="1">'CD_Đọc trước'!$A$1:$B$9</definedName>
    <definedName name="_xlnm._FilterDatabase" localSheetId="4" hidden="1">'CD_Dữ kiện có nguồn'!$A$1:$D$13</definedName>
    <definedName name="_xlnm._FilterDatabase" localSheetId="5" hidden="1">'CD_Cần nhóm cung cấp'!$A$1:$F$13</definedName>
    <definedName name="_xlnm._FilterDatabase" localSheetId="6" hidden="1">'CD_Số nhóm đã nêu'!$A$1:$F$10</definedName>
    <definedName name="_xlnm._FilterDatabase" localSheetId="7" hidden="1">'CD_Nội dung đã gỡ'!$A$1:$C$9</definedName>
    <definedName name="_xlnm._FilterDatabase" localSheetId="8" hidden="1">'CD_Việc của Phong'!$A$1:$G$12</definedName>
    <definedName name="_xlnm._FilterDatabase" localSheetId="9" hidden="1">'CD_8 tuần chờ lịch'!$A$1:$F$9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25">
    <font>
      <name val="Carlito"/>
      <color rgb="FF000000"/>
      <sz val="11"/>
      <scheme val="minor"/>
    </font>
    <font>
      <name val="Arial"/>
      <b val="1"/>
      <color rgb="FF17365D"/>
      <sz val="16"/>
    </font>
    <font>
      <name val="Arial"/>
      <i val="1"/>
      <color rgb="FF595959"/>
      <sz val="10"/>
    </font>
    <font>
      <name val="Arial"/>
      <b val="1"/>
      <color rgb="FF17365D"/>
      <sz val="10"/>
    </font>
    <font>
      <name val="Arial"/>
      <b val="1"/>
      <color theme="1"/>
      <sz val="10"/>
    </font>
    <font>
      <name val="Arial"/>
      <b val="1"/>
      <color rgb="FFFFFFFF"/>
      <sz val="10"/>
    </font>
    <font>
      <name val="Arial"/>
      <color rgb="FF222222"/>
      <sz val="10"/>
    </font>
    <font>
      <name val="Arial"/>
      <b val="1"/>
      <color rgb="FF222222"/>
      <sz val="10"/>
    </font>
    <font>
      <name val="Arial"/>
      <i val="1"/>
      <color rgb="FF404040"/>
      <sz val="10"/>
    </font>
    <font/>
    <font>
      <name val="Arial"/>
      <b val="1"/>
      <color rgb="FF17365D"/>
      <sz val="14"/>
    </font>
    <font>
      <name val="Carlito"/>
      <color theme="1"/>
      <scheme val="minor"/>
    </font>
    <font>
      <name val="Arial"/>
      <color rgb="FF212121"/>
      <sz val="10"/>
    </font>
    <font>
      <name val="Arial"/>
      <color rgb="FF212833"/>
      <sz val="10"/>
    </font>
    <font>
      <name val="Arial"/>
      <b val="1"/>
      <color rgb="FF7E5F00"/>
      <sz val="10"/>
    </font>
    <font>
      <name val="Arial"/>
      <color rgb="FF16355B"/>
      <sz val="10"/>
    </font>
    <font>
      <name val="Arial"/>
      <b val="1"/>
      <color rgb="FF16355B"/>
      <sz val="13"/>
    </font>
    <font>
      <name val="Arial"/>
      <b val="1"/>
      <color rgb="FF7F6000"/>
      <sz val="10"/>
    </font>
    <font>
      <name val="Arial"/>
      <b val="1"/>
      <color rgb="FFFFFFFF"/>
      <sz val="16"/>
    </font>
    <font>
      <name val="Arial"/>
      <b val="1"/>
      <color rgb="FF16355B"/>
      <sz val="11"/>
    </font>
    <font>
      <name val="Arial"/>
      <i val="1"/>
      <color rgb="FF1E2B3D"/>
      <sz val="10"/>
    </font>
    <font>
      <name val="Arial"/>
      <b val="1"/>
      <color rgb="FF16355B"/>
      <sz val="10"/>
    </font>
    <font>
      <name val="Arial"/>
      <color rgb="FF1E2B3D"/>
      <sz val="10"/>
    </font>
    <font>
      <b val="1"/>
      <color rgb="00FFFFFF"/>
      <sz val="11"/>
    </font>
    <font>
      <sz val="11"/>
    </font>
  </fonts>
  <fills count="18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17365D"/>
        <bgColor rgb="FF17365D"/>
      </patternFill>
    </fill>
    <fill>
      <patternFill patternType="solid">
        <fgColor rgb="FFEDF4FB"/>
        <bgColor rgb="FFEDF4FB"/>
      </patternFill>
    </fill>
    <fill>
      <patternFill patternType="solid">
        <fgColor rgb="FFFFF2CC"/>
        <bgColor rgb="FFFFF2CC"/>
      </patternFill>
    </fill>
    <fill>
      <patternFill patternType="solid">
        <fgColor rgb="FFFFFDF2"/>
        <bgColor rgb="FFFFFDF2"/>
      </patternFill>
    </fill>
    <fill>
      <patternFill patternType="solid">
        <fgColor rgb="FFE7E6E6"/>
        <bgColor rgb="FFE7E6E6"/>
      </patternFill>
    </fill>
    <fill>
      <patternFill patternType="solid">
        <fgColor rgb="FF16355B"/>
        <bgColor rgb="FF16355B"/>
      </patternFill>
    </fill>
    <fill>
      <patternFill patternType="solid">
        <fgColor rgb="FFEDF4FC"/>
        <bgColor rgb="FFEDF4FC"/>
      </patternFill>
    </fill>
    <fill>
      <patternFill patternType="solid">
        <fgColor rgb="FFEFF7FF"/>
        <bgColor rgb="FFEFF7FF"/>
      </patternFill>
    </fill>
    <fill>
      <patternFill patternType="solid">
        <fgColor rgb="FFD8EAF7"/>
        <bgColor rgb="FFD8EAF7"/>
      </patternFill>
    </fill>
    <fill>
      <patternFill patternType="solid">
        <fgColor rgb="FF2F75B5"/>
        <bgColor rgb="FF2F75B5"/>
      </patternFill>
    </fill>
    <fill>
      <patternFill patternType="solid">
        <fgColor rgb="FFF4F9FF"/>
        <bgColor rgb="FFF4F9FF"/>
      </patternFill>
    </fill>
    <fill>
      <patternFill patternType="solid">
        <fgColor rgb="00154C5B"/>
      </patternFill>
    </fill>
    <fill>
      <patternFill patternType="solid">
        <fgColor rgb="00EFF5F4"/>
      </patternFill>
    </fill>
    <fill>
      <patternFill patternType="solid">
        <fgColor rgb="00FFF1CC"/>
      </patternFill>
    </fill>
  </fills>
  <borders count="24">
    <border/>
    <border>
      <left style="thin">
        <color rgb="FFB8C6D1"/>
      </left>
      <right/>
      <top style="thin">
        <color rgb="FFB8C6D1"/>
      </top>
      <bottom style="thin">
        <color rgb="FFB8C6D1"/>
      </bottom>
    </border>
    <border>
      <left/>
      <right/>
      <top style="thin">
        <color rgb="FFB8C6D1"/>
      </top>
      <bottom style="thin">
        <color rgb="FFB8C6D1"/>
      </bottom>
    </border>
    <border>
      <left/>
      <right style="thin">
        <color rgb="FFB8C6D1"/>
      </right>
      <top style="thin">
        <color rgb="FFB8C6D1"/>
      </top>
      <bottom style="thin">
        <color rgb="FFB8C6D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 style="thin">
        <color rgb="FFD9E2F3"/>
      </bottom>
    </border>
    <border>
      <bottom style="thin">
        <color rgb="FFD9E2F3"/>
      </bottom>
    </border>
    <border>
      <left/>
      <right/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left/>
      <right/>
      <top style="thin">
        <color rgb="FFD9E2F3"/>
      </top>
      <bottom style="thin">
        <color rgb="FFB8C6D1"/>
      </bottom>
    </border>
    <border>
      <top style="thin">
        <color rgb="FFD9E2F3"/>
      </top>
      <bottom style="thin">
        <color rgb="FFB8C6D1"/>
      </bottom>
    </border>
    <border>
      <left style="thin">
        <color rgb="FFB8C6D1"/>
      </left>
      <top style="thin">
        <color rgb="FFB8C6D1"/>
      </top>
      <bottom style="thin">
        <color rgb="FFB8C6D1"/>
      </bottom>
    </border>
    <border>
      <top style="thin">
        <color rgb="FFB8C6D1"/>
      </top>
      <bottom style="thin">
        <color rgb="FFB8C6D1"/>
      </bottom>
    </border>
    <border>
      <right style="thin">
        <color rgb="FFB8C6D1"/>
      </right>
      <top style="thin">
        <color rgb="FFB8C6D1"/>
      </top>
      <bottom style="thin">
        <color rgb="FFB8C6D1"/>
      </bottom>
    </border>
    <border>
      <bottom style="thin">
        <color rgb="FFD8E1F3"/>
      </bottom>
    </border>
    <border>
      <bottom style="thin">
        <color rgb="FFD6E2F2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</border>
    <border>
      <top style="thin">
        <color rgb="FFB8C6D1"/>
      </top>
    </border>
    <border>
      <right style="thin">
        <color rgb="FFB8C6D1"/>
      </right>
      <top style="thin">
        <color rgb="FFB8C6D1"/>
      </top>
    </border>
    <border>
      <left/>
      <right/>
      <top/>
      <bottom/>
    </border>
    <border>
      <top style="thin">
        <color rgb="FFD9E2F3"/>
      </top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top" wrapText="1"/>
    </xf>
    <xf numFmtId="0" fontId="3" fillId="2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top" wrapText="1"/>
    </xf>
    <xf numFmtId="164" fontId="6" fillId="0" borderId="6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6" fillId="7" borderId="5" applyAlignment="1" pivotButton="0" quotePrefix="0" xfId="0">
      <alignment vertical="top" wrapText="1"/>
    </xf>
    <xf numFmtId="0" fontId="6" fillId="7" borderId="5" applyAlignment="1" pivotButton="0" quotePrefix="0" xfId="0">
      <alignment vertical="top" wrapText="1"/>
    </xf>
    <xf numFmtId="0" fontId="3" fillId="5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top" wrapText="1"/>
    </xf>
    <xf numFmtId="0" fontId="3" fillId="2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top" wrapText="1"/>
    </xf>
    <xf numFmtId="164" fontId="6" fillId="0" borderId="8" applyAlignment="1" pivotButton="0" quotePrefix="0" xfId="0">
      <alignment horizontal="center" vertical="center" wrapText="1"/>
    </xf>
    <xf numFmtId="0" fontId="7" fillId="6" borderId="7" applyAlignment="1" pivotButton="0" quotePrefix="0" xfId="0">
      <alignment horizontal="center" vertical="center" wrapText="1"/>
    </xf>
    <xf numFmtId="0" fontId="6" fillId="7" borderId="7" applyAlignment="1" pivotButton="0" quotePrefix="0" xfId="0">
      <alignment vertical="top" wrapText="1"/>
    </xf>
    <xf numFmtId="0" fontId="6" fillId="7" borderId="7" applyAlignment="1" pivotButton="0" quotePrefix="0" xfId="0">
      <alignment vertical="top" wrapText="1"/>
    </xf>
    <xf numFmtId="0" fontId="3" fillId="2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top" wrapText="1"/>
    </xf>
    <xf numFmtId="0" fontId="3" fillId="5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top" wrapText="1"/>
    </xf>
    <xf numFmtId="0" fontId="3" fillId="2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164" fontId="6" fillId="0" borderId="10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6" fillId="7" borderId="9" applyAlignment="1" pivotButton="0" quotePrefix="0" xfId="0">
      <alignment vertical="top" wrapText="1"/>
    </xf>
    <xf numFmtId="0" fontId="6" fillId="7" borderId="9" applyAlignment="1" pivotButton="0" quotePrefix="0" xfId="0">
      <alignment vertical="top" wrapText="1"/>
    </xf>
    <xf numFmtId="0" fontId="8" fillId="8" borderId="11" applyAlignment="1" pivotButton="0" quotePrefix="0" xfId="0">
      <alignment vertical="center" wrapText="1"/>
    </xf>
    <xf numFmtId="0" fontId="9" fillId="0" borderId="12" pivotButton="0" quotePrefix="0" xfId="0"/>
    <xf numFmtId="0" fontId="9" fillId="0" borderId="13" pivotButton="0" quotePrefix="0" xfId="0"/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1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10" borderId="14" applyAlignment="1" pivotButton="0" quotePrefix="1" xfId="0">
      <alignment horizontal="center" vertical="center" wrapText="1"/>
    </xf>
    <xf numFmtId="0" fontId="3" fillId="1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vertical="top" wrapText="1"/>
    </xf>
    <xf numFmtId="0" fontId="13" fillId="11" borderId="15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165" fontId="13" fillId="11" borderId="15" applyAlignment="1" pivotButton="0" quotePrefix="0" xfId="0">
      <alignment horizontal="center" vertical="center" wrapText="1"/>
    </xf>
    <xf numFmtId="164" fontId="12" fillId="0" borderId="14" applyAlignment="1" pivotButton="0" quotePrefix="0" xfId="0">
      <alignment horizontal="center" vertical="center" wrapText="1"/>
    </xf>
    <xf numFmtId="0" fontId="14" fillId="6" borderId="14" applyAlignment="1" pivotButton="0" quotePrefix="0" xfId="0">
      <alignment horizontal="center" vertical="center" wrapText="1"/>
    </xf>
    <xf numFmtId="0" fontId="15" fillId="10" borderId="14" applyAlignment="1" pivotButton="0" quotePrefix="0" xfId="0">
      <alignment vertical="center" wrapText="1"/>
    </xf>
    <xf numFmtId="0" fontId="3" fillId="2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vertical="top" wrapText="1"/>
    </xf>
    <xf numFmtId="0" fontId="16" fillId="12" borderId="0" applyAlignment="1" pivotButton="0" quotePrefix="0" xfId="0">
      <alignment vertical="center"/>
    </xf>
    <xf numFmtId="0" fontId="11" fillId="12" borderId="0" pivotButton="0" quotePrefix="0" xfId="0"/>
    <xf numFmtId="0" fontId="5" fillId="9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0" fontId="13" fillId="0" borderId="15" applyAlignment="1" pivotButton="0" quotePrefix="0" xfId="0">
      <alignment vertical="top" wrapText="1"/>
    </xf>
    <xf numFmtId="0" fontId="13" fillId="0" borderId="15" applyAlignment="1" pivotButton="0" quotePrefix="1" xfId="0">
      <alignment vertical="top" wrapText="1"/>
    </xf>
    <xf numFmtId="0" fontId="15" fillId="10" borderId="1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" fontId="3" fillId="5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1" fontId="3" fillId="5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1" fontId="3" fillId="5" borderId="9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5" fillId="13" borderId="16" applyAlignment="1" pivotButton="0" quotePrefix="0" xfId="0">
      <alignment vertical="center"/>
    </xf>
    <xf numFmtId="0" fontId="9" fillId="0" borderId="17" pivotButton="0" quotePrefix="0" xfId="0"/>
    <xf numFmtId="0" fontId="9" fillId="0" borderId="18" pivotButton="0" quotePrefix="0" xfId="0"/>
    <xf numFmtId="0" fontId="6" fillId="0" borderId="6" applyAlignment="1" pivotButton="0" quotePrefix="0" xfId="0">
      <alignment vertical="center" wrapText="1"/>
    </xf>
    <xf numFmtId="0" fontId="9" fillId="0" borderId="6" pivotButton="0" quotePrefix="0" xfId="0"/>
    <xf numFmtId="0" fontId="17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9" fillId="0" borderId="8" pivotButton="0" quotePrefix="0" xfId="0"/>
    <xf numFmtId="0" fontId="17" fillId="6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9" fillId="0" borderId="10" pivotButton="0" quotePrefix="0" xfId="0"/>
    <xf numFmtId="0" fontId="17" fillId="6" borderId="9" applyAlignment="1" pivotButton="0" quotePrefix="0" xfId="0">
      <alignment horizontal="center" vertical="center" wrapText="1"/>
    </xf>
    <xf numFmtId="0" fontId="18" fillId="9" borderId="0" applyAlignment="1" pivotButton="0" quotePrefix="0" xfId="0">
      <alignment vertical="center"/>
    </xf>
    <xf numFmtId="0" fontId="19" fillId="12" borderId="0" applyAlignment="1" pivotButton="0" quotePrefix="0" xfId="0">
      <alignment vertical="center"/>
    </xf>
    <xf numFmtId="0" fontId="20" fillId="14" borderId="0" applyAlignment="1" pivotButton="0" quotePrefix="0" xfId="0">
      <alignment vertical="center" wrapText="1"/>
    </xf>
    <xf numFmtId="0" fontId="21" fillId="12" borderId="0" applyAlignment="1" pivotButton="0" quotePrefix="1" xfId="0">
      <alignment horizontal="center" vertical="center" wrapText="1"/>
    </xf>
    <xf numFmtId="0" fontId="21" fillId="12" borderId="0" applyAlignment="1" pivotButton="0" quotePrefix="0" xfId="0">
      <alignment vertical="center" wrapText="1"/>
    </xf>
    <xf numFmtId="0" fontId="22" fillId="0" borderId="15" applyAlignment="1" pivotButton="0" quotePrefix="0" xfId="0">
      <alignment vertical="top" wrapText="1"/>
    </xf>
    <xf numFmtId="0" fontId="0" fillId="0" borderId="0" pivotButton="0" quotePrefix="0" xfId="0"/>
    <xf numFmtId="0" fontId="8" fillId="8" borderId="19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13" borderId="22" applyAlignment="1" pivotButton="0" quotePrefix="0" xfId="0">
      <alignment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23" fillId="15" borderId="0" applyAlignment="1" pivotButton="0" quotePrefix="0" xfId="0">
      <alignment vertical="center" wrapText="1"/>
    </xf>
    <xf numFmtId="0" fontId="24" fillId="16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3" fontId="24" fillId="16" borderId="0" applyAlignment="1" pivotButton="0" quotePrefix="0" xfId="0">
      <alignment vertical="top" wrapText="1"/>
    </xf>
    <xf numFmtId="0" fontId="24" fillId="17" borderId="0" applyAlignment="1" pivotButton="0" quotePrefix="0" xfId="0">
      <alignment vertical="top" wrapText="1"/>
    </xf>
    <xf numFmtId="3" fontId="24" fillId="0" borderId="0" applyAlignment="1" pivotButton="0" quotePrefix="0" xfId="0">
      <alignment vertical="top" wrapText="1"/>
    </xf>
  </cellXfs>
  <cellStyles count="1">
    <cellStyle name="Normal" xfId="0" builtinId="0"/>
  </cellStyles>
  <dxfs count="9">
    <dxf>
      <font>
        <b val="1"/>
        <color rgb="FF9C0006"/>
      </font>
      <fill>
        <patternFill patternType="solid">
          <fgColor rgb="FFFBE3D5"/>
          <bgColor rgb="FFFBE3D5"/>
        </patternFill>
      </fill>
      <border/>
    </dxf>
    <dxf>
      <font>
        <b val="1"/>
        <color rgb="FF375522"/>
      </font>
      <fill>
        <patternFill patternType="solid">
          <fgColor rgb="FFE1EFD9"/>
          <bgColor rgb="FFE1EFD9"/>
        </patternFill>
      </fill>
      <border/>
    </dxf>
    <dxf>
      <font>
        <b val="1"/>
        <color rgb="FF5F4879"/>
      </font>
      <fill>
        <patternFill patternType="solid">
          <fgColor rgb="FFE3DFEB"/>
          <bgColor rgb="FFE3DFEB"/>
        </patternFill>
      </fill>
      <border/>
    </dxf>
    <dxf>
      <font>
        <b val="1"/>
        <color rgb="FF1F4E78"/>
      </font>
      <fill>
        <patternFill patternType="solid">
          <fgColor rgb="FFD9EAF7"/>
          <bgColor rgb="FFD9EAF7"/>
        </patternFill>
      </fill>
      <border/>
    </dxf>
    <dxf>
      <font>
        <b val="1"/>
        <color rgb="FF7E5F00"/>
      </font>
      <fill>
        <patternFill patternType="solid">
          <fgColor rgb="FFFFF1CC"/>
          <bgColor rgb="FFFFF1CC"/>
        </patternFill>
      </fill>
      <border/>
    </dxf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5F497A"/>
      </font>
      <fill>
        <patternFill patternType="solid">
          <fgColor rgb="FFE4DFEC"/>
          <bgColor rgb="FFE4DFEC"/>
        </patternFill>
      </fill>
      <border/>
    </dxf>
    <dxf>
      <font>
        <b val="1"/>
        <color rgb="FF375623"/>
      </font>
      <fill>
        <patternFill patternType="solid">
          <fgColor rgb="FFE2F0D9"/>
          <bgColor rgb="FFE2F0D9"/>
        </patternFill>
      </fill>
      <border/>
    </dxf>
    <dxf>
      <font>
        <b val="1"/>
        <color rgb="FF9C0006"/>
      </font>
      <fill>
        <patternFill patternType="solid">
          <fgColor rgb="FFFCE4D6"/>
          <bgColor rgb="FFFCE4D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2:O60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2.63" defaultRowHeight="15" customHeight="1"/>
  <cols>
    <col width="6.88" customWidth="1" style="89" min="1" max="1"/>
    <col width="23.75" customWidth="1" style="89" min="2" max="2"/>
    <col width="33.88" customWidth="1" style="89" min="3" max="3"/>
    <col width="22.63" customWidth="1" style="89" min="4" max="4"/>
    <col width="30.13" customWidth="1" style="89" min="5" max="5"/>
    <col width="33.88" customWidth="1" style="89" min="6" max="7"/>
    <col width="15.75" customWidth="1" style="89" min="8" max="8"/>
    <col width="17.63" customWidth="1" style="89" min="9" max="9"/>
    <col width="27.63" customWidth="1" style="89" min="10" max="10"/>
    <col width="20.13" customWidth="1" style="89" min="11" max="11"/>
    <col width="20.75" customWidth="1" style="89" min="12" max="12"/>
    <col width="32.63" customWidth="1" style="89" min="13" max="13"/>
    <col width="30.75" customWidth="1" style="89" min="14" max="15"/>
    <col width="8.630000000000001" customWidth="1" style="89" min="16" max="26"/>
  </cols>
  <sheetData>
    <row r="2" ht="27.75" customHeight="1" s="89">
      <c r="A2" s="1" t="inlineStr">
        <is>
          <t>QUẢN LÝ CÔNG VIỆC TUẦN 1 - DỰ ÁN TMĐT</t>
        </is>
      </c>
    </row>
    <row r="3" ht="21.75" customHeight="1" s="89">
      <c r="A3" s="2" t="inlineStr">
        <is>
          <t>Nguồn: BaiTapNhom_Chuong1.pdf (BT1–BT9), Workspace PCG (0. Readme, Sprint planning, 7. Document) và yêu cầu nhóm. Hạn nội bộ 21/10; nộp 22/10/2026.</t>
        </is>
      </c>
    </row>
    <row r="5" ht="27.75" customHeight="1" s="89">
      <c r="A5" s="3" t="inlineStr">
        <is>
          <t>Tổng bài</t>
        </is>
      </c>
      <c r="B5" s="4" t="n">
        <v>9</v>
      </c>
      <c r="C5" s="5" t="inlineStr">
        <is>
          <t>Chưa bắt đầu</t>
        </is>
      </c>
      <c r="D5" s="4">
        <f>COUNTIF($H$8:$H$16,"Chưa bắt đầu")</f>
        <v/>
      </c>
      <c r="E5" s="5" t="inlineStr">
        <is>
          <t>Đang thực hiện</t>
        </is>
      </c>
      <c r="F5" s="4">
        <f>COUNTIF($H$8:$H$16,"Đang thực hiện")</f>
        <v/>
      </c>
      <c r="G5" s="5" t="inlineStr">
        <is>
          <t>Review/Verify</t>
        </is>
      </c>
      <c r="H5" s="4">
        <f>COUNTIF($H$8:$H$16,"Review/Verify")</f>
        <v/>
      </c>
      <c r="I5" s="5" t="inlineStr">
        <is>
          <t>Hoàn thành</t>
        </is>
      </c>
      <c r="J5" s="6">
        <f>COUNTIF($H$8:$H$16,"Hoàn thành")</f>
        <v/>
      </c>
    </row>
    <row r="7" ht="33.75" customHeight="1" s="89">
      <c r="A7" s="7" t="inlineStr">
        <is>
          <t>Mã</t>
        </is>
      </c>
      <c r="B7" s="7" t="inlineStr">
        <is>
          <t>Bài tập</t>
        </is>
      </c>
      <c r="C7" s="7" t="inlineStr">
        <is>
          <t>Nội dung chính</t>
        </is>
      </c>
      <c r="D7" s="7" t="inlineStr">
        <is>
          <t>Phụ trách chính</t>
        </is>
      </c>
      <c r="E7" s="7" t="inlineStr">
        <is>
          <t>Người hỗ trợ</t>
        </is>
      </c>
      <c r="F7" s="7" t="inlineStr">
        <is>
          <t>Đầu ra / Definition of Done</t>
        </is>
      </c>
      <c r="G7" s="7" t="inlineStr">
        <is>
          <t>Deadline nội bộ</t>
        </is>
      </c>
      <c r="H7" s="7" t="inlineStr">
        <is>
          <t>Trạng thái</t>
        </is>
      </c>
      <c r="I7" s="7" t="inlineStr">
        <is>
          <t>Minh chứng / Link</t>
        </is>
      </c>
      <c r="J7" s="7" t="inlineStr">
        <is>
          <t>Ghi chú PM</t>
        </is>
      </c>
    </row>
    <row r="8" ht="85.5" customHeight="1" s="89">
      <c r="A8" s="8" t="inlineStr">
        <is>
          <t>BT1</t>
        </is>
      </c>
      <c r="B8" s="11" t="inlineStr">
        <is>
          <t>Đề xuất và đánh giá hai ý tưởng</t>
        </is>
      </c>
      <c r="C8" s="11" t="inlineStr">
        <is>
          <t>So sánh tối thiểu 2 ý tưởng theo khách hàng, nhu cầu, giá vốn/giá bán, khả năng triển khai với 500.000 VND, cạnh tranh, khác biệt, 2-3 rủi ro và quyết định chọn.</t>
        </is>
      </c>
      <c r="D8" s="65" t="inlineStr">
        <is>
          <t>MR Lead – Huy</t>
        </is>
      </c>
      <c r="E8" s="11" t="inlineStr">
        <is>
          <t>PP Lead – Bằng; SO/Sales Lead – Nam; EO Lead – Đạt</t>
        </is>
      </c>
      <c r="F8" s="11" t="inlineStr">
        <is>
          <t>Bảng so sánh 2 ý tưởng và giải thích lựa chọn 1 ý tưởng chính thức.</t>
        </is>
      </c>
      <c r="G8" s="12" t="n">
        <v>46314.83333333334</v>
      </c>
      <c r="H8" s="13" t="inlineStr">
        <is>
          <t>Chưa bắt đầu</t>
        </is>
      </c>
      <c r="I8" s="15" t="inlineStr">
        <is>
          <t>Dán link bảng so sánh + ảnh/nguồn giá</t>
        </is>
      </c>
      <c r="J8" s="15" t="inlineStr">
        <is>
          <t>PCG Sprint 1: có 2 phương án, khách hàng mục tiêu, nguồn/bằng chứng nhu cầu; phân biệt dữ liệu thực với giả định. Hạn PCG 19/10.</t>
        </is>
      </c>
    </row>
    <row r="9" ht="85.5" customHeight="1" s="89">
      <c r="A9" s="16" t="inlineStr">
        <is>
          <t>BT2</t>
        </is>
      </c>
      <c r="B9" s="25" t="inlineStr">
        <is>
          <t>Phân tích khách hàng và kiểm chứng nhu cầu</t>
        </is>
      </c>
      <c r="C9" s="25" t="inlineStr">
        <is>
          <t>Viết mô tả cơ hội 200-300 từ; xác định khách hàng, nhu cầu, đối thủ, mức giá; thu ít nhất 1 loại bằng chứng sơ bộ và nêu giới hạn bằng chứng.</t>
        </is>
      </c>
      <c r="D9" s="67" t="inlineStr">
        <is>
          <t>MR Lead – Huy</t>
        </is>
      </c>
      <c r="E9" s="25" t="inlineStr">
        <is>
          <t>SO/Sales Lead – Nam; CC Lead – Danh; PP Lead – Bằng; EO Lead – Đạt</t>
        </is>
      </c>
      <c r="F9" s="25" t="inlineStr">
        <is>
          <t>Problem/Opportunity Statement; hồ sơ khách hàng mục tiêu; phụ lục khảo sát, ảnh, link hoặc ghi chú trao đổi.</t>
        </is>
      </c>
      <c r="G9" s="20" t="n">
        <v>46314.91666666666</v>
      </c>
      <c r="H9" s="21" t="inlineStr">
        <is>
          <t>Chưa bắt đầu</t>
        </is>
      </c>
      <c r="I9" s="23" t="inlineStr">
        <is>
          <t>Dán link khảo sát/ảnh social/đối thủ/nhà cung cấp</t>
        </is>
      </c>
      <c r="J9" s="23" t="inlineStr">
        <is>
          <t>Bằng chứng cần có ngày, nguồn và giới hạn; dùng cho lựa chọn sản phẩm, Charter và Project Overview.</t>
        </is>
      </c>
    </row>
    <row r="10" ht="85.5" customHeight="1" s="89">
      <c r="A10" s="16" t="inlineStr">
        <is>
          <t>BT3</t>
        </is>
      </c>
      <c r="B10" s="25" t="inlineStr">
        <is>
          <t>Project Charter v1.0</t>
        </is>
      </c>
      <c r="C10" s="25" t="inlineStr">
        <is>
          <t>Tổng hợp tên dự án, mục tiêu SMART, phạm vi, deliverables, ngân sách tối đa 500.000 VND, timeline 8 tuần, milestone, giả định, ràng buộc, rủi ro và tiêu chí thành công.</t>
        </is>
      </c>
      <c r="D10" s="67" t="inlineStr">
        <is>
          <t>PM -Nghĩa</t>
        </is>
      </c>
      <c r="E10" s="25" t="inlineStr">
        <is>
          <t>CD Lead – Phong; EO Lead – Đạt; Tất cả Lead: Hưng, Phong, Nam, Đạt, Bằng, Danh, Huy</t>
        </is>
      </c>
      <c r="F10" s="25" t="inlineStr">
        <is>
          <t>Project Charter v1.0 dài khoảng 2-3 trang, được các PM mini xác nhận đầu vào.</t>
        </is>
      </c>
      <c r="G10" s="20" t="n">
        <v>46315.75</v>
      </c>
      <c r="H10" s="21" t="inlineStr">
        <is>
          <t>Chưa bắt đầu</t>
        </is>
      </c>
      <c r="I10" s="23" t="inlineStr">
        <is>
          <t>Dán link Project Charter v1.0</t>
        </is>
      </c>
      <c r="J10" s="23" t="inlineStr">
        <is>
          <t>PCG cần Charter bản đầu + dự toán có căn cứ giá + rủi ro/ứng phó trước 21/10. Rủi ro ghi theo mẫu Risk &amp; Issue Log.</t>
        </is>
      </c>
    </row>
    <row r="11" ht="85.5" customHeight="1" s="89">
      <c r="A11" s="16" t="inlineStr">
        <is>
          <t>BT4</t>
        </is>
      </c>
      <c r="B11" s="25" t="inlineStr">
        <is>
          <t>Kế hoạch kinh doanh sơ bộ và ngân sách</t>
        </is>
      </c>
      <c r="C11" s="25" t="inlineStr">
        <is>
          <t>Chốt sản phẩm, giá bán, kênh bán, nhận đơn, thanh toán, đóng gói/giao hàng, CSKH, marketing; lập ngân sách và cách đo lường kết quả.</t>
        </is>
      </c>
      <c r="D11" s="67" t="inlineStr">
        <is>
          <t>SO/Sales Lead – Nam</t>
        </is>
      </c>
      <c r="E11" s="25" t="inlineStr">
        <is>
          <t>PP Lead – Bằng; Operations Lead – Hưng; CC Lead – Danh; EO Lead – Đạt</t>
        </is>
      </c>
      <c r="F11" s="25" t="inlineStr">
        <is>
          <t>Business Plan sơ bộ; dự toán theo mẫu Budget &amp; Sales Tracker ≤500.000 VND; Sales/Operations checklist; Marketing Plan có kênh, mục tiêu, ngân sách, timeline và KPI.</t>
        </is>
      </c>
      <c r="G11" s="20" t="n">
        <v>46315.75</v>
      </c>
      <c r="H11" s="21" t="inlineStr">
        <is>
          <t>Chưa bắt đầu</t>
        </is>
      </c>
      <c r="I11" s="23" t="inlineStr">
        <is>
          <t>Dán link kế hoạch + bảng giá/báo giá</t>
        </is>
      </c>
      <c r="J11" s="23" t="inlineStr">
        <is>
          <t>Bằng lập giá và dự toán theo Budget &amp; Sales Tracker; Đạt kiểm tra số liệu, Nghĩa duyệt. Marketing Plan do Danh chủ trì phần nội dung/kênh.</t>
        </is>
      </c>
    </row>
    <row r="12" ht="85.5" customHeight="1" s="89">
      <c r="A12" s="16" t="inlineStr">
        <is>
          <t>BT5</t>
        </is>
      </c>
      <c r="B12" s="25" t="inlineStr">
        <is>
          <t>Stakeholder Register</t>
        </is>
      </c>
      <c r="C12" s="25" t="inlineStr">
        <is>
          <t>Xác định tối thiểu 5 stakeholder; ghi vai trò/nhu cầu, mức ảnh hưởng và cách phối hợp.</t>
        </is>
      </c>
      <c r="D12" s="67" t="inlineStr">
        <is>
          <t>CD Lead – Phong</t>
        </is>
      </c>
      <c r="E12" s="25" t="inlineStr">
        <is>
          <t>PM – Nghĩa; MR Lead – Huy; SO/Sales Lead – Nam; Operations Lead – Hưng</t>
        </is>
      </c>
      <c r="F12" s="25" t="inlineStr">
        <is>
          <t>Stakeholder Register tối thiểu 5 bên: khách hàng, nhà cung cấp, nền tảng, vận chuyển, PCG/GV, nhóm hoặc bên liên quan khác.</t>
        </is>
      </c>
      <c r="G12" s="20" t="n">
        <v>46315.66666666666</v>
      </c>
      <c r="H12" s="21" t="inlineStr">
        <is>
          <t>Chưa bắt đầu</t>
        </is>
      </c>
      <c r="I12" s="23" t="inlineStr">
        <is>
          <t>Dán link Stakeholder Register</t>
        </is>
      </c>
      <c r="J12" s="23" t="inlineStr">
        <is>
          <t>Có PCG/GV, khách hàng, nhà cung cấp, nền tảng, giao vận và nhóm; ghi kênh, tần suất và owner.</t>
        </is>
      </c>
    </row>
    <row r="13" ht="85.5" customHeight="1" s="89">
      <c r="A13" s="16" t="inlineStr">
        <is>
          <t>BT6</t>
        </is>
      </c>
      <c r="B13" s="25" t="inlineStr">
        <is>
          <t>Team Charter và phân công PM mini</t>
        </is>
      </c>
      <c r="C13" s="25" t="inlineStr">
        <is>
          <t>Chốt PM chính, vai trò từng thành viên, kênh trao đổi, lịch họp, SLA phản hồi, bàn giao, xử lý trễ/bất đồng và nguyên tắc trung thực dữ liệu.</t>
        </is>
      </c>
      <c r="D13" s="67" t="inlineStr">
        <is>
          <t>PM – Nghĩa</t>
        </is>
      </c>
      <c r="E13" s="25" t="inlineStr">
        <is>
          <t>CD Lead – Phong; EO Lead – Đạt; Tất cả Lead: Hưng, Phong, Nam, Đạt, Bằng, Danh, Huy</t>
        </is>
      </c>
      <c r="F13" s="25" t="inlineStr">
        <is>
          <t>Team Charter có xác nhận vai trò và trách nhiệm của từng thành viên.</t>
        </is>
      </c>
      <c r="G13" s="20" t="n">
        <v>46313.95833333334</v>
      </c>
      <c r="H13" s="21" t="inlineStr">
        <is>
          <t>Chưa bắt đầu</t>
        </is>
      </c>
      <c r="I13" s="23" t="inlineStr">
        <is>
          <t>Dán link Team Charter/biên bản xác nhận</t>
        </is>
      </c>
      <c r="J13" s="23" t="inlineStr">
        <is>
          <t>Phân vai 8 người theo 0. Readme; SO tách Nam phụ trách Sales và Hưng phụ trách Operations.</t>
        </is>
      </c>
    </row>
    <row r="14" ht="85.5" customHeight="1" s="89">
      <c r="A14" s="16" t="inlineStr">
        <is>
          <t>BT7</t>
        </is>
      </c>
      <c r="B14" s="25" t="inlineStr">
        <is>
          <t>Task Board</t>
        </is>
      </c>
      <c r="C14" s="25" t="inlineStr">
        <is>
          <t>Tạo bảng với Backlog/To do, In Progress, Review/Verify, Done; mỗi task có owner, deadline, đầu ra và tiêu chí/minh chứng hoàn thành.</t>
        </is>
      </c>
      <c r="D14" s="67" t="inlineStr">
        <is>
          <t>EO Lead – Đạt</t>
        </is>
      </c>
      <c r="E14" s="25" t="inlineStr">
        <is>
          <t>PM – Nghĩa; CD Lead – Phong</t>
        </is>
      </c>
      <c r="F14" s="25" t="inlineStr">
        <is>
          <t>Link Task Board; các task Tuần 1 và kế hoạch 8 tuần được tạo; ảnh chụp bảng công việc.</t>
        </is>
      </c>
      <c r="G14" s="20" t="n">
        <v>46313.95833333334</v>
      </c>
      <c r="H14" s="21" t="inlineStr">
        <is>
          <t>Chưa bắt đầu</t>
        </is>
      </c>
      <c r="I14" s="23" t="inlineStr">
        <is>
          <t>Dán link Trello/Jira/Planner + ảnh chụp</t>
        </is>
      </c>
      <c r="J14" s="23" t="inlineStr">
        <is>
          <t>Task Board là BT7 theo đề. PCG Sprint planning ghi Gantt/Jira triển khai Sprint 2; không gộp thành điều kiện nộp PCG Sprint 1.</t>
        </is>
      </c>
    </row>
    <row r="15" ht="85.5" customHeight="1" s="89">
      <c r="A15" s="16" t="inlineStr">
        <is>
          <t>BT8</t>
        </is>
      </c>
      <c r="B15" s="25" t="inlineStr">
        <is>
          <t>Kho minh chứng dùng chung</t>
        </is>
      </c>
      <c r="C15" s="25" t="inlineStr">
        <is>
          <t>Tạo cấu trúc 7 thư mục theo đề; thống nhất quy tắc đặt tên, quyền truy cập và trách nhiệm tải minh chứng.</t>
        </is>
      </c>
      <c r="D15" s="67" t="inlineStr">
        <is>
          <t>CD Lead – Phong</t>
        </is>
      </c>
      <c r="E15" s="25" t="inlineStr">
        <is>
          <t>Operations Lead – Hưng; EO Lead – Đạt; Tất cả Lead: Hưng, Phong, Nam, Đạt, Bằng, Danh, Huy</t>
        </is>
      </c>
      <c r="F15" s="25" t="inlineStr">
        <is>
          <t>Link kho minh chứng; đủ 7 thư mục; giảng viên và PCG có quyền xem; có tài liệu phiên bản đầu tiên.</t>
        </is>
      </c>
      <c r="G15" s="20" t="n">
        <v>46314.5</v>
      </c>
      <c r="H15" s="21" t="inlineStr">
        <is>
          <t>Chưa bắt đầu</t>
        </is>
      </c>
      <c r="I15" s="23" t="inlineStr">
        <is>
          <t>Dán link Drive + ảnh quyền truy cập</t>
        </is>
      </c>
      <c r="J15" s="23" t="inlineStr">
        <is>
          <t>Phong quản lý 7 thư mục con trong folder team do PC tạo; mỗi Lead tải minh chứng, Đạt kiểm tra link/quyền.</t>
        </is>
      </c>
    </row>
    <row r="16" ht="85.5" customHeight="1" s="89">
      <c r="A16" s="26" t="inlineStr">
        <is>
          <t>BT9</t>
        </is>
      </c>
      <c r="B16" s="30" t="inlineStr">
        <is>
          <t>Week 1 Summary và hồ sơ nộp</t>
        </is>
      </c>
      <c r="C16" s="30" t="inlineStr">
        <is>
          <t>Viết 300-500 từ về sản phẩm chọn, bằng chứng nhu cầu, giả định, ngân sách, phân công, rủi ro và việc Tuần 2; ghép toàn bộ hồ sơ.</t>
        </is>
      </c>
      <c r="D16" s="69" t="inlineStr">
        <is>
          <t>CD Lead – Phong</t>
        </is>
      </c>
      <c r="E16" s="30" t="inlineStr">
        <is>
          <t>PM – Nghĩa; EO Lead – Đạt; Tất cả Lead: Hưng, Phong, Nam, Đạt, Bằng, Danh, Huy</t>
        </is>
      </c>
      <c r="F16" s="30" t="inlineStr">
        <is>
          <t>Week 1 Summary 300–500 từ; 01 file Word theo đề và link minh chứng; thêm Weekly Report Sprint 1 theo mẫu PCG để PM/PIC rà soát.</t>
        </is>
      </c>
      <c r="G16" s="31" t="n">
        <v>46316.75</v>
      </c>
      <c r="H16" s="32" t="inlineStr">
        <is>
          <t>Chưa bắt đầu</t>
        </is>
      </c>
      <c r="I16" s="34" t="inlineStr">
        <is>
          <t>Dán link bản Word final + link minh chứng</t>
        </is>
      </c>
      <c r="J16" s="34" t="inlineStr">
        <is>
          <t>Ngoài Word/Week 1 Summary theo đề, lập Weekly Report mẫu PCG: kế hoạch–thực tế, ngân sách, KPI, risk/issue, việc Sprint 2; rà soát với PIC trước 21/10.</t>
        </is>
      </c>
    </row>
    <row r="18" ht="31.5" customHeight="1" s="89">
      <c r="A18" s="90" t="inlineStr">
        <is>
          <t>Mốc điều hành: 19/10 dữ liệu thô và bằng chứng; 20/10 hoàn tất bản nháp; 21/10 review, sửa lỗi, kiểm tra link và chốt hồ sơ; 22/10 chỉ dùng để nộp.</t>
        </is>
      </c>
      <c r="B18" s="91" t="n"/>
      <c r="C18" s="91" t="n"/>
      <c r="D18" s="91" t="n"/>
      <c r="E18" s="91" t="n"/>
      <c r="F18" s="91" t="n"/>
      <c r="G18" s="91" t="n"/>
      <c r="H18" s="91" t="n"/>
      <c r="I18" s="91" t="n"/>
      <c r="J18" s="92" t="n"/>
    </row>
    <row r="21" ht="22.5" customHeight="1" s="89">
      <c r="A21" s="39" t="inlineStr">
        <is>
          <t>CHI TIẾT NHIỆM VỤ THEO VAI TRÒ</t>
        </is>
      </c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</row>
    <row r="22" ht="22.5" customHeight="1" s="89">
      <c r="A22" s="41" t="inlineStr">
        <is>
          <t>Phân vai: Operations–Hưng; CD–Phong; SO/Sales–Nam; EO–Đạt; PP–Bằng; CC–Danh; MR–Huy; PM–Nghĩa.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</row>
    <row r="23" ht="15.75" customHeight="1" s="89">
      <c r="A23" s="42" t="inlineStr">
        <is>
          <t>Category D · Story points H · Start date I · Priority K · Nơi nộp N · Minh chứng O. Phong gửi link Drive nhóm để mọi người mở đúng thư mục.</t>
        </is>
      </c>
    </row>
    <row r="24" ht="31.5" customHeight="1" s="89">
      <c r="A24" s="43" t="inlineStr">
        <is>
          <t>Mã việc</t>
        </is>
      </c>
      <c r="B24" s="43" t="inlineStr">
        <is>
          <t>Bài tập</t>
        </is>
      </c>
      <c r="C24" s="43" t="inlineStr">
        <is>
          <t>Nhiệm vụ chi tiết</t>
        </is>
      </c>
      <c r="D24" s="44" t="inlineStr">
        <is>
          <t>Category</t>
        </is>
      </c>
      <c r="E24" s="43" t="inlineStr">
        <is>
          <t>Phụ trách chính</t>
        </is>
      </c>
      <c r="F24" s="43" t="inlineStr">
        <is>
          <t>Người hỗ trợ</t>
        </is>
      </c>
      <c r="G24" s="43" t="inlineStr">
        <is>
          <t>Kết quả bàn giao</t>
        </is>
      </c>
      <c r="H24" s="44" t="inlineStr">
        <is>
          <t>Story points</t>
        </is>
      </c>
      <c r="I24" s="44" t="inlineStr">
        <is>
          <t>Start date</t>
        </is>
      </c>
      <c r="J24" s="43" t="inlineStr">
        <is>
          <t>Deadline</t>
        </is>
      </c>
      <c r="K24" s="44" t="inlineStr">
        <is>
          <t>Priority</t>
        </is>
      </c>
      <c r="L24" s="43" t="inlineStr">
        <is>
          <t>Trạng thái</t>
        </is>
      </c>
      <c r="M24" s="43" t="inlineStr">
        <is>
          <t>Tiêu chí hoàn thành</t>
        </is>
      </c>
      <c r="N24" s="43" t="inlineStr">
        <is>
          <t>Nơi nộp file (Drive nhóm)</t>
        </is>
      </c>
      <c r="O24" s="43" t="inlineStr">
        <is>
          <t>Minh chứng / Ghi chú</t>
        </is>
      </c>
    </row>
    <row r="25" ht="49.5" customHeight="1" s="89">
      <c r="A25" s="45" t="inlineStr">
        <is>
          <t>1.1</t>
        </is>
      </c>
      <c r="B25" s="46" t="inlineStr">
        <is>
          <t>BT1</t>
        </is>
      </c>
      <c r="C25" s="55" t="inlineStr">
        <is>
          <t>Thu ý tưởng; kiểm tra nhu cầu, khách hàng và đối thủ cho 2 phương án</t>
        </is>
      </c>
      <c r="D25" s="48" t="inlineStr">
        <is>
          <t>Document</t>
        </is>
      </c>
      <c r="E25" s="54" t="inlineStr">
        <is>
          <t>MR Lead – Huy</t>
        </is>
      </c>
      <c r="F25" s="55" t="inlineStr">
        <is>
          <t>SO/Sales Lead – Nam; CC Lead – Danh</t>
        </is>
      </c>
      <c r="G25" s="55" t="inlineStr">
        <is>
          <t>Bảng dữ liệu thị trường cho 2 ý tưởng</t>
        </is>
      </c>
      <c r="H25" s="48" t="inlineStr">
        <is>
          <t>Medium</t>
        </is>
      </c>
      <c r="I25" s="50" t="n">
        <v>46313</v>
      </c>
      <c r="J25" s="51" t="n">
        <v>46314.625</v>
      </c>
      <c r="K25" s="48" t="inlineStr">
        <is>
          <t>High</t>
        </is>
      </c>
      <c r="L25" s="52" t="inlineStr">
        <is>
          <t>Chưa bắt đầu</t>
        </is>
      </c>
      <c r="M25" s="55" t="inlineStr">
        <is>
          <t>Có nguồn, ngày thu thập và giới hạn bằng chứng</t>
        </is>
      </c>
      <c r="N25" s="53" t="inlineStr">
        <is>
          <t>02_Market_Research</t>
        </is>
      </c>
      <c r="O25" s="55" t="inlineStr">
        <is>
          <t>Khảo sát/link/ảnh</t>
        </is>
      </c>
    </row>
    <row r="26" ht="49.5" customHeight="1" s="89">
      <c r="A26" s="45" t="inlineStr">
        <is>
          <t>1.2</t>
        </is>
      </c>
      <c r="B26" s="46" t="inlineStr">
        <is>
          <t>BT1</t>
        </is>
      </c>
      <c r="C26" s="55" t="inlineStr">
        <is>
          <t>Thu giá vốn, giá bán, nguồn hàng; tính khả thi với 500.000 VND</t>
        </is>
      </c>
      <c r="D26" s="48" t="inlineStr">
        <is>
          <t>Document</t>
        </is>
      </c>
      <c r="E26" s="54" t="inlineStr">
        <is>
          <t>PP Lead – Bằng</t>
        </is>
      </c>
      <c r="F26" s="55" t="inlineStr">
        <is>
          <t>Operations Lead – Hưng; EO Lead – Đạt</t>
        </is>
      </c>
      <c r="G26" s="55" t="inlineStr">
        <is>
          <t>Bảng giá và unit economics sơ bộ</t>
        </is>
      </c>
      <c r="H26" s="48" t="inlineStr">
        <is>
          <t>Medium</t>
        </is>
      </c>
      <c r="I26" s="50" t="n">
        <v>46313</v>
      </c>
      <c r="J26" s="51" t="n">
        <v>46314.75</v>
      </c>
      <c r="K26" s="48" t="inlineStr">
        <is>
          <t>High</t>
        </is>
      </c>
      <c r="L26" s="52" t="inlineStr">
        <is>
          <t>Chưa bắt đầu</t>
        </is>
      </c>
      <c r="M26" s="55" t="inlineStr">
        <is>
          <t>Tổng vốn không vượt 500.000; có MOQ, vận chuyển, biên lợi nhuận</t>
        </is>
      </c>
      <c r="N26" s="53" t="inlineStr">
        <is>
          <t>02_Market_Research</t>
        </is>
      </c>
      <c r="O26" s="55" t="inlineStr">
        <is>
          <t>Báo giá/bảng tính</t>
        </is>
      </c>
    </row>
    <row r="27" ht="49.5" customHeight="1" s="89">
      <c r="A27" s="45" t="inlineStr">
        <is>
          <t>1.3</t>
        </is>
      </c>
      <c r="B27" s="46" t="inlineStr">
        <is>
          <t>BT1</t>
        </is>
      </c>
      <c r="C27" s="55" t="inlineStr">
        <is>
          <t>Hoàn thiện bảng so sánh, rủi ro và chốt ý tưởng chính thức</t>
        </is>
      </c>
      <c r="D27" s="48" t="inlineStr">
        <is>
          <t>Meeting</t>
        </is>
      </c>
      <c r="E27" s="54" t="inlineStr">
        <is>
          <t>PM – Nghĩa</t>
        </is>
      </c>
      <c r="F27" s="55" t="inlineStr">
        <is>
          <t>MR Lead – Huy; PP Lead – Bằng; EO Lead – Đạt</t>
        </is>
      </c>
      <c r="G27" s="55" t="inlineStr">
        <is>
          <t>Bảng so sánh 2 ý tưởng và quyết định chọn</t>
        </is>
      </c>
      <c r="H27" s="48" t="inlineStr">
        <is>
          <t>Small</t>
        </is>
      </c>
      <c r="I27" s="50" t="n">
        <v>46314</v>
      </c>
      <c r="J27" s="51" t="n">
        <v>46314.83333333334</v>
      </c>
      <c r="K27" s="48" t="inlineStr">
        <is>
          <t>High</t>
        </is>
      </c>
      <c r="L27" s="52" t="inlineStr">
        <is>
          <t>Chưa bắt đầu</t>
        </is>
      </c>
      <c r="M27" s="55" t="inlineStr">
        <is>
          <t>Mỗi ý tưởng có 2-3 rủi ro; quyết định dựa trên bằng chứng</t>
        </is>
      </c>
      <c r="N27" s="53" t="inlineStr">
        <is>
          <t>02_Market_Research</t>
        </is>
      </c>
      <c r="O27" s="55" t="inlineStr">
        <is>
          <t>Biên bản quyết định</t>
        </is>
      </c>
    </row>
    <row r="28" ht="49.5" customHeight="1" s="89">
      <c r="A28" s="45" t="inlineStr">
        <is>
          <t>2.1</t>
        </is>
      </c>
      <c r="B28" s="46" t="inlineStr">
        <is>
          <t>BT2</t>
        </is>
      </c>
      <c r="C28" s="55" t="inlineStr">
        <is>
          <t>Xây dựng chân dung khách hàng; khảo sát/phỏng vấn 5-10 người</t>
        </is>
      </c>
      <c r="D28" s="48" t="inlineStr">
        <is>
          <t>Document</t>
        </is>
      </c>
      <c r="E28" s="54" t="inlineStr">
        <is>
          <t>MR Lead – Huy</t>
        </is>
      </c>
      <c r="F28" s="55" t="inlineStr">
        <is>
          <t>SO/Sales Lead – Nam</t>
        </is>
      </c>
      <c r="G28" s="55" t="inlineStr">
        <is>
          <t>Customer profile và dữ liệu khảo sát</t>
        </is>
      </c>
      <c r="H28" s="48" t="inlineStr">
        <is>
          <t>Medium</t>
        </is>
      </c>
      <c r="I28" s="50" t="n">
        <v>46313</v>
      </c>
      <c r="J28" s="51" t="n">
        <v>46314.66666666666</v>
      </c>
      <c r="K28" s="48" t="inlineStr">
        <is>
          <t>High</t>
        </is>
      </c>
      <c r="L28" s="52" t="inlineStr">
        <is>
          <t>Chưa bắt đầu</t>
        </is>
      </c>
      <c r="M28" s="55" t="inlineStr">
        <is>
          <t>Dữ liệu thật, có ngày và đối tượng; không tạo phản hồi giả</t>
        </is>
      </c>
      <c r="N28" s="53" t="inlineStr">
        <is>
          <t>02_Market_Research</t>
        </is>
      </c>
      <c r="O28" s="55" t="inlineStr">
        <is>
          <t>Form/bảng phản hồi</t>
        </is>
      </c>
    </row>
    <row r="29" ht="49.5" customHeight="1" s="89">
      <c r="A29" s="45" t="inlineStr">
        <is>
          <t>2.2</t>
        </is>
      </c>
      <c r="B29" s="46" t="inlineStr">
        <is>
          <t>BT2</t>
        </is>
      </c>
      <c r="C29" s="55" t="inlineStr">
        <is>
          <t>So sánh giá trên sàn và quan sát nhu cầu Facebook/TikTok</t>
        </is>
      </c>
      <c r="D29" s="48" t="inlineStr">
        <is>
          <t>Document</t>
        </is>
      </c>
      <c r="E29" s="54" t="inlineStr">
        <is>
          <t>CC Lead – Danh</t>
        </is>
      </c>
      <c r="F29" s="55" t="inlineStr">
        <is>
          <t>MR Lead – Huy; PP Lead – Bằng</t>
        </is>
      </c>
      <c r="G29" s="55" t="inlineStr">
        <is>
          <t>Bảng đối thủ và social listening note</t>
        </is>
      </c>
      <c r="H29" s="48" t="inlineStr">
        <is>
          <t>Small</t>
        </is>
      </c>
      <c r="I29" s="50" t="n">
        <v>46313</v>
      </c>
      <c r="J29" s="51" t="n">
        <v>46314.75</v>
      </c>
      <c r="K29" s="48" t="inlineStr">
        <is>
          <t>High</t>
        </is>
      </c>
      <c r="L29" s="52" t="inlineStr">
        <is>
          <t>Chưa bắt đầu</t>
        </is>
      </c>
      <c r="M29" s="55" t="inlineStr">
        <is>
          <t>Có tối thiểu 3 đối thủ/sản phẩm tương tự và link kiểm tra</t>
        </is>
      </c>
      <c r="N29" s="53" t="inlineStr">
        <is>
          <t>02_Market_Research</t>
        </is>
      </c>
      <c r="O29" s="55" t="inlineStr">
        <is>
          <t>Link/ảnh chụp</t>
        </is>
      </c>
    </row>
    <row r="30" ht="49.5" customHeight="1" s="89">
      <c r="A30" s="45" t="inlineStr">
        <is>
          <t>2.3</t>
        </is>
      </c>
      <c r="B30" s="46" t="inlineStr">
        <is>
          <t>BT2</t>
        </is>
      </c>
      <c r="C30" s="55" t="inlineStr">
        <is>
          <t>Tổng hợp bằng chứng; viết Opportunity Statement 200-300 từ; lập kế hoạch test Tuần 2</t>
        </is>
      </c>
      <c r="D30" s="48" t="inlineStr">
        <is>
          <t>Document</t>
        </is>
      </c>
      <c r="E30" s="54" t="inlineStr">
        <is>
          <t>CD Lead – Phong</t>
        </is>
      </c>
      <c r="F30" s="55" t="inlineStr">
        <is>
          <t>MR Lead – Huy; EO Lead – Đạt</t>
        </is>
      </c>
      <c r="G30" s="55" t="inlineStr">
        <is>
          <t>Opportunity Statement và kế hoạch kiểm chứng</t>
        </is>
      </c>
      <c r="H30" s="48" t="inlineStr">
        <is>
          <t>Medium</t>
        </is>
      </c>
      <c r="I30" s="50" t="n">
        <v>46314</v>
      </c>
      <c r="J30" s="51" t="n">
        <v>46314.91666666666</v>
      </c>
      <c r="K30" s="48" t="inlineStr">
        <is>
          <t>High</t>
        </is>
      </c>
      <c r="L30" s="52" t="inlineStr">
        <is>
          <t>Chưa bắt đầu</t>
        </is>
      </c>
      <c r="M30" s="55" t="inlineStr">
        <is>
          <t>Đủ bối cảnh, khách hàng, nhu cầu, giá trị, cách tiếp cận và giả định</t>
        </is>
      </c>
      <c r="N30" s="53" t="inlineStr">
        <is>
          <t>02_Market_Research</t>
        </is>
      </c>
      <c r="O30" s="55" t="inlineStr">
        <is>
          <t>Link bản nháp</t>
        </is>
      </c>
    </row>
    <row r="31" ht="49.5" customHeight="1" s="89">
      <c r="A31" s="45" t="inlineStr">
        <is>
          <t>3.1</t>
        </is>
      </c>
      <c r="B31" s="46" t="inlineStr">
        <is>
          <t>BT3</t>
        </is>
      </c>
      <c r="C31" s="55" t="inlineStr">
        <is>
          <t>Thu input các Lead; chốt mục tiêu SMART và deliverables</t>
        </is>
      </c>
      <c r="D31" s="48" t="inlineStr">
        <is>
          <t>Team Management</t>
        </is>
      </c>
      <c r="E31" s="54" t="inlineStr">
        <is>
          <t>PM – Nghĩa</t>
        </is>
      </c>
      <c r="F31" s="55" t="inlineStr">
        <is>
          <t>Tất cả Lead: Hưng, Phong, Nam, Đạt, Bằng, Danh, Huy</t>
        </is>
      </c>
      <c r="G31" s="55" t="inlineStr">
        <is>
          <t>Bộ mục tiêu và sản phẩm bàn giao</t>
        </is>
      </c>
      <c r="H31" s="48" t="inlineStr">
        <is>
          <t>Small</t>
        </is>
      </c>
      <c r="I31" s="50" t="n">
        <v>46314</v>
      </c>
      <c r="J31" s="51" t="n">
        <v>46315.5</v>
      </c>
      <c r="K31" s="48" t="inlineStr">
        <is>
          <t>High</t>
        </is>
      </c>
      <c r="L31" s="52" t="inlineStr">
        <is>
          <t>Chưa bắt đầu</t>
        </is>
      </c>
      <c r="M31" s="55" t="inlineStr">
        <is>
          <t>Mục tiêu đo được, có thời hạn; không cam kết doanh số thiếu căn cứ</t>
        </is>
      </c>
      <c r="N31" s="53" t="inlineStr">
        <is>
          <t>01_Project_Charter</t>
        </is>
      </c>
      <c r="O31" s="55" t="inlineStr">
        <is>
          <t>Checklist input</t>
        </is>
      </c>
    </row>
    <row r="32" ht="49.5" customHeight="1" s="89">
      <c r="A32" s="45" t="inlineStr">
        <is>
          <t>3.2</t>
        </is>
      </c>
      <c r="B32" s="46" t="inlineStr">
        <is>
          <t>BT3</t>
        </is>
      </c>
      <c r="C32" s="55" t="inlineStr">
        <is>
          <t>Xác định phạm vi, timeline 8 tuần, ngân sách, rủi ro và KPI thành công</t>
        </is>
      </c>
      <c r="D32" s="48" t="inlineStr">
        <is>
          <t>Document</t>
        </is>
      </c>
      <c r="E32" s="54" t="inlineStr">
        <is>
          <t>EO Lead – Đạt</t>
        </is>
      </c>
      <c r="F32" s="55" t="inlineStr">
        <is>
          <t>PM – Nghĩa; SO/Sales Lead – Nam; Operations Lead – Hưng; CC Lead – Danh</t>
        </is>
      </c>
      <c r="G32" s="55" t="inlineStr">
        <is>
          <t>Bộ phạm vi, milestone, budget, risk và KPI</t>
        </is>
      </c>
      <c r="H32" s="48" t="inlineStr">
        <is>
          <t>Medium</t>
        </is>
      </c>
      <c r="I32" s="50" t="n">
        <v>46314</v>
      </c>
      <c r="J32" s="51" t="n">
        <v>46315.66666666666</v>
      </c>
      <c r="K32" s="48" t="inlineStr">
        <is>
          <t>High</t>
        </is>
      </c>
      <c r="L32" s="52" t="inlineStr">
        <is>
          <t>Chưa bắt đầu</t>
        </is>
      </c>
      <c r="M32" s="55" t="inlineStr">
        <is>
          <t>Ngân sách ≤500.000; mỗi mốc/rủi ro/KPI có owner và cách đo</t>
        </is>
      </c>
      <c r="N32" s="53" t="inlineStr">
        <is>
          <t>01_Project_Charter</t>
        </is>
      </c>
      <c r="O32" s="55" t="inlineStr">
        <is>
          <t>Timeline/budget/risk</t>
        </is>
      </c>
    </row>
    <row r="33" ht="49.5" customHeight="1" s="89">
      <c r="A33" s="45" t="inlineStr">
        <is>
          <t>3.3</t>
        </is>
      </c>
      <c r="B33" s="46" t="inlineStr">
        <is>
          <t>BT3</t>
        </is>
      </c>
      <c r="C33" s="55" t="inlineStr">
        <is>
          <t>Viết, chuẩn hóa và trình PM duyệt Project Charter v1.0</t>
        </is>
      </c>
      <c r="D33" s="48" t="inlineStr">
        <is>
          <t>Document</t>
        </is>
      </c>
      <c r="E33" s="54" t="inlineStr">
        <is>
          <t>CD Lead – Phong</t>
        </is>
      </c>
      <c r="F33" s="55" t="inlineStr">
        <is>
          <t>PM – Nghĩa; Tất cả Lead: Hưng, Phong, Nam, Đạt, Bằng, Danh, Huy</t>
        </is>
      </c>
      <c r="G33" s="55" t="inlineStr">
        <is>
          <t>Project Charter 2-3 trang</t>
        </is>
      </c>
      <c r="H33" s="48" t="inlineStr">
        <is>
          <t>Medium</t>
        </is>
      </c>
      <c r="I33" s="50" t="n">
        <v>46315</v>
      </c>
      <c r="J33" s="51" t="n">
        <v>46315.75</v>
      </c>
      <c r="K33" s="48" t="inlineStr">
        <is>
          <t>High</t>
        </is>
      </c>
      <c r="L33" s="52" t="inlineStr">
        <is>
          <t>Chưa bắt đầu</t>
        </is>
      </c>
      <c r="M33" s="55" t="inlineStr">
        <is>
          <t>Đúng cấu trúc; số liệu nhất quán; PM phê duyệt</t>
        </is>
      </c>
      <c r="N33" s="53" t="inlineStr">
        <is>
          <t>01_Project_Charter</t>
        </is>
      </c>
      <c r="O33" s="55" t="inlineStr">
        <is>
          <t>Link Charter</t>
        </is>
      </c>
    </row>
    <row r="34" ht="49.5" customHeight="1" s="89">
      <c r="A34" s="45" t="inlineStr">
        <is>
          <t>4.1</t>
        </is>
      </c>
      <c r="B34" s="46" t="inlineStr">
        <is>
          <t>BT4</t>
        </is>
      </c>
      <c r="C34" s="55" t="inlineStr">
        <is>
          <t>Chốt danh mục, USP, giá bán, giá vốn, ngân sách và cách đo lãi/lỗ</t>
        </is>
      </c>
      <c r="D34" s="48" t="inlineStr">
        <is>
          <t>Document</t>
        </is>
      </c>
      <c r="E34" s="54" t="inlineStr">
        <is>
          <t>PP Lead – Bằng</t>
        </is>
      </c>
      <c r="F34" s="55" t="inlineStr">
        <is>
          <t>EO Lead – Đạt; PM – Nghĩa</t>
        </is>
      </c>
      <c r="G34" s="55" t="inlineStr">
        <is>
          <t>Bảng sản phẩm, định giá và ngân sách</t>
        </is>
      </c>
      <c r="H34" s="48" t="inlineStr">
        <is>
          <t>Medium</t>
        </is>
      </c>
      <c r="I34" s="50" t="n">
        <v>46314</v>
      </c>
      <c r="J34" s="51" t="n">
        <v>46315.58333333334</v>
      </c>
      <c r="K34" s="48" t="inlineStr">
        <is>
          <t>High</t>
        </is>
      </c>
      <c r="L34" s="52" t="inlineStr">
        <is>
          <t>Chưa bắt đầu</t>
        </is>
      </c>
      <c r="M34" s="55" t="inlineStr">
        <is>
          <t>Phân biệt vốn, chi phí, doanh thu, tồn kho và lợi nhuận; tổng ≤500.000</t>
        </is>
      </c>
      <c r="N34" s="53" t="inlineStr">
        <is>
          <t>03_Budget_and_Finance</t>
        </is>
      </c>
      <c r="O34" s="55" t="inlineStr">
        <is>
          <t>Bảng định giá/budget</t>
        </is>
      </c>
    </row>
    <row r="35" ht="49.5" customHeight="1" s="89">
      <c r="A35" s="45" t="inlineStr">
        <is>
          <t>4.2</t>
        </is>
      </c>
      <c r="B35" s="46" t="inlineStr">
        <is>
          <t>BT4</t>
        </is>
      </c>
      <c r="C35" s="55" t="inlineStr">
        <is>
          <t>Thiết kế kênh bán, nhận đơn, thanh toán, CSKH và hành trình khách hàng</t>
        </is>
      </c>
      <c r="D35" s="48" t="inlineStr">
        <is>
          <t>Document</t>
        </is>
      </c>
      <c r="E35" s="54" t="inlineStr">
        <is>
          <t>SO/Sales Lead – Nam</t>
        </is>
      </c>
      <c r="F35" s="55" t="inlineStr">
        <is>
          <t>CC Lead – Danh; Operations Lead – Hưng</t>
        </is>
      </c>
      <c r="G35" s="55" t="inlineStr">
        <is>
          <t>Sales flow và customer journey</t>
        </is>
      </c>
      <c r="H35" s="48" t="inlineStr">
        <is>
          <t>Small</t>
        </is>
      </c>
      <c r="I35" s="50" t="n">
        <v>46314</v>
      </c>
      <c r="J35" s="51" t="n">
        <v>46315.66666666666</v>
      </c>
      <c r="K35" s="48" t="inlineStr">
        <is>
          <t>High</t>
        </is>
      </c>
      <c r="L35" s="52" t="inlineStr">
        <is>
          <t>Chưa bắt đầu</t>
        </is>
      </c>
      <c r="M35" s="55" t="inlineStr">
        <is>
          <t>Có bước nhận-xác nhận-thanh toán-chăm sóc; SLA và owner rõ</t>
        </is>
      </c>
      <c r="N35" s="53" t="inlineStr">
        <is>
          <t>05_Orders_and_Operations</t>
        </is>
      </c>
      <c r="O35" s="55" t="inlineStr">
        <is>
          <t>Sơ đồ/checklist</t>
        </is>
      </c>
    </row>
    <row r="36" ht="84" customHeight="1" s="89">
      <c r="A36" s="45" t="inlineStr">
        <is>
          <t>4.3</t>
        </is>
      </c>
      <c r="B36" s="46" t="inlineStr">
        <is>
          <t>BT4</t>
        </is>
      </c>
      <c r="C36" s="55" t="inlineStr">
        <is>
          <t>Thiết kế đóng gói, tồn kho, giao hàng; chuyển đầu vào vận hành cho Nam tổng hợp Business Plan; Danh chủ trì Marketing Plan</t>
        </is>
      </c>
      <c r="D36" s="48" t="inlineStr">
        <is>
          <t>Document</t>
        </is>
      </c>
      <c r="E36" s="54" t="inlineStr">
        <is>
          <t>Operations Lead – Hưng</t>
        </is>
      </c>
      <c r="F36" s="55" t="inlineStr">
        <is>
          <t>CC Lead – Danh; SO/Sales Lead – Nam; EO Lead – Đạt</t>
        </is>
      </c>
      <c r="G36" s="55" t="inlineStr">
        <is>
          <t>Operations checklist; đầu vào Business Plan; Marketing Plan do CC Lead – Danh soạn</t>
        </is>
      </c>
      <c r="H36" s="48" t="inlineStr">
        <is>
          <t>Medium</t>
        </is>
      </c>
      <c r="I36" s="50" t="n">
        <v>46314</v>
      </c>
      <c r="J36" s="51" t="n">
        <v>46315.75</v>
      </c>
      <c r="K36" s="48" t="inlineStr">
        <is>
          <t>High</t>
        </is>
      </c>
      <c r="L36" s="52" t="inlineStr">
        <is>
          <t>Chưa bắt đầu</t>
        </is>
      </c>
      <c r="M36" s="55" t="inlineStr">
        <is>
          <t>Quy trình nhận → xác nhận → đóng gói → giao → feedback; marketing có kênh, mục tiêu, ngân sách, timeline, KPI</t>
        </is>
      </c>
      <c r="N36" s="53" t="inlineStr">
        <is>
          <t>01_Project_Charter (kế hoạch tổng)
04_Marketing_Content (marketing)
05_Orders_and_Operations (vận hành)</t>
        </is>
      </c>
      <c r="O36" s="55" t="inlineStr">
        <is>
          <t>Link kế hoạch</t>
        </is>
      </c>
    </row>
    <row r="37" ht="49.5" customHeight="1" s="89">
      <c r="A37" s="45" t="inlineStr">
        <is>
          <t>5.1</t>
        </is>
      </c>
      <c r="B37" s="46" t="inlineStr">
        <is>
          <t>BT5</t>
        </is>
      </c>
      <c r="C37" s="55" t="inlineStr">
        <is>
          <t>Lập tối thiểu 5 stakeholder; phân tích vai trò, nhu cầu và mức ảnh hưởng</t>
        </is>
      </c>
      <c r="D37" s="48" t="inlineStr">
        <is>
          <t>Document</t>
        </is>
      </c>
      <c r="E37" s="54" t="inlineStr">
        <is>
          <t>CD Lead – Phong</t>
        </is>
      </c>
      <c r="F37" s="55" t="inlineStr">
        <is>
          <t>MR Lead – Huy; SO/Sales Lead – Nam</t>
        </is>
      </c>
      <c r="G37" s="55" t="inlineStr">
        <is>
          <t>Stakeholder Register bản nháp</t>
        </is>
      </c>
      <c r="H37" s="48" t="inlineStr">
        <is>
          <t>Small</t>
        </is>
      </c>
      <c r="I37" s="50" t="n">
        <v>46314</v>
      </c>
      <c r="J37" s="51" t="n">
        <v>46315.45833333334</v>
      </c>
      <c r="K37" s="48" t="inlineStr">
        <is>
          <t>Medium</t>
        </is>
      </c>
      <c r="L37" s="52" t="inlineStr">
        <is>
          <t>Chưa bắt đầu</t>
        </is>
      </c>
      <c r="M37" s="55" t="inlineStr">
        <is>
          <t>Có khách hàng, NCC, nền tảng, vận chuyển, nhóm và GV/PCG</t>
        </is>
      </c>
      <c r="N37" s="53" t="inlineStr">
        <is>
          <t>01_Project_Charter</t>
        </is>
      </c>
      <c r="O37" s="55" t="inlineStr">
        <is>
          <t>Register</t>
        </is>
      </c>
    </row>
    <row r="38" ht="49.5" customHeight="1" s="89">
      <c r="A38" s="45" t="inlineStr">
        <is>
          <t>5.2</t>
        </is>
      </c>
      <c r="B38" s="46" t="inlineStr">
        <is>
          <t>BT5</t>
        </is>
      </c>
      <c r="C38" s="55" t="inlineStr">
        <is>
          <t>Xác định kênh, tần suất, owner và nội dung phối hợp từng stakeholder</t>
        </is>
      </c>
      <c r="D38" s="48" t="inlineStr">
        <is>
          <t>Document</t>
        </is>
      </c>
      <c r="E38" s="54" t="inlineStr">
        <is>
          <t>CD Lead – Phong</t>
        </is>
      </c>
      <c r="F38" s="55" t="inlineStr">
        <is>
          <t>PM – Nghĩa</t>
        </is>
      </c>
      <c r="G38" s="55" t="inlineStr">
        <is>
          <t>Kế hoạch tương tác stakeholder</t>
        </is>
      </c>
      <c r="H38" s="48" t="inlineStr">
        <is>
          <t>Small</t>
        </is>
      </c>
      <c r="I38" s="50" t="n">
        <v>46314</v>
      </c>
      <c r="J38" s="51" t="n">
        <v>46315.54166666666</v>
      </c>
      <c r="K38" s="48" t="inlineStr">
        <is>
          <t>Medium</t>
        </is>
      </c>
      <c r="L38" s="52" t="inlineStr">
        <is>
          <t>Chưa bắt đầu</t>
        </is>
      </c>
      <c r="M38" s="55" t="inlineStr">
        <is>
          <t>Mỗi stakeholder có cách phối hợp kiểm tra được</t>
        </is>
      </c>
      <c r="N38" s="53" t="inlineStr">
        <is>
          <t>01_Project_Charter</t>
        </is>
      </c>
      <c r="O38" s="55" t="inlineStr">
        <is>
          <t>Communication plan</t>
        </is>
      </c>
    </row>
    <row r="39" ht="49.5" customHeight="1" s="89">
      <c r="A39" s="45" t="inlineStr">
        <is>
          <t>5.3</t>
        </is>
      </c>
      <c r="B39" s="46" t="inlineStr">
        <is>
          <t>BT5</t>
        </is>
      </c>
      <c r="C39" s="55" t="inlineStr">
        <is>
          <t>Kiểm tra thông tin stakeholder vận hành và trình PM duyệt Register</t>
        </is>
      </c>
      <c r="D39" s="48" t="inlineStr">
        <is>
          <t>Document</t>
        </is>
      </c>
      <c r="E39" s="54" t="inlineStr">
        <is>
          <t>Operations Lead – Hưng</t>
        </is>
      </c>
      <c r="F39" s="55" t="inlineStr">
        <is>
          <t>PP Lead – Bằng; SO/Sales Lead – Nam; PM – Nghĩa</t>
        </is>
      </c>
      <c r="G39" s="55" t="inlineStr">
        <is>
          <t>Stakeholder Register hoàn chỉnh</t>
        </is>
      </c>
      <c r="H39" s="48" t="inlineStr">
        <is>
          <t>Small</t>
        </is>
      </c>
      <c r="I39" s="50" t="n">
        <v>46315</v>
      </c>
      <c r="J39" s="51" t="n">
        <v>46315.66666666666</v>
      </c>
      <c r="K39" s="48" t="inlineStr">
        <is>
          <t>Medium</t>
        </is>
      </c>
      <c r="L39" s="52" t="inlineStr">
        <is>
          <t>Chưa bắt đầu</t>
        </is>
      </c>
      <c r="M39" s="55" t="inlineStr">
        <is>
          <t>Thông tin NCC, nền tảng, vận chuyển kiểm tra được; không thiếu owner/cách phối hợp</t>
        </is>
      </c>
      <c r="N39" s="53" t="inlineStr">
        <is>
          <t>01_Project_Charter</t>
        </is>
      </c>
      <c r="O39" s="55" t="inlineStr">
        <is>
          <t>Link bản duyệt</t>
        </is>
      </c>
    </row>
    <row r="40" ht="49.5" customHeight="1" s="89">
      <c r="A40" s="45" t="inlineStr">
        <is>
          <t>6.1</t>
        </is>
      </c>
      <c r="B40" s="46" t="inlineStr">
        <is>
          <t>BT6</t>
        </is>
      </c>
      <c r="C40" s="55" t="inlineStr">
        <is>
          <t>Lập bản đồ 8 đầu mối: PM, MR, PP, CC, Sales, Operations, EO, CD</t>
        </is>
      </c>
      <c r="D40" s="48" t="inlineStr">
        <is>
          <t>Team Management</t>
        </is>
      </c>
      <c r="E40" s="54" t="inlineStr">
        <is>
          <t>PM – Nghĩa</t>
        </is>
      </c>
      <c r="F40" s="55" t="inlineStr">
        <is>
          <t>CD Lead – Phong</t>
        </is>
      </c>
      <c r="G40" s="55" t="inlineStr">
        <is>
          <t>Bảng phân vai theo nguồn sau khi tách SO</t>
        </is>
      </c>
      <c r="H40" s="48" t="inlineStr">
        <is>
          <t>Small</t>
        </is>
      </c>
      <c r="I40" s="50" t="n">
        <v>46313</v>
      </c>
      <c r="J40" s="51" t="n">
        <v>46313.875</v>
      </c>
      <c r="K40" s="48" t="inlineStr">
        <is>
          <t>High</t>
        </is>
      </c>
      <c r="L40" s="52" t="inlineStr">
        <is>
          <t>Chưa bắt đầu</t>
        </is>
      </c>
      <c r="M40" s="55" t="inlineStr">
        <is>
          <t>Mỗi vai trò gắn với một thành viên hoặc ghi rõ người kiêm nhiệm</t>
        </is>
      </c>
      <c r="N40" s="53" t="inlineStr">
        <is>
          <t>01_Project_Charter</t>
        </is>
      </c>
      <c r="O40" s="55" t="inlineStr">
        <is>
          <t>Bảng phân vai</t>
        </is>
      </c>
    </row>
    <row r="41" ht="49.5" customHeight="1" s="89">
      <c r="A41" s="45" t="inlineStr">
        <is>
          <t>6.2</t>
        </is>
      </c>
      <c r="B41" s="46" t="inlineStr">
        <is>
          <t>BT6</t>
        </is>
      </c>
      <c r="C41" s="55" t="inlineStr">
        <is>
          <t>Chốt kênh trao đổi, lịch họp, SLA phản hồi, bàn giao, xử lý trễ và bất đồng</t>
        </is>
      </c>
      <c r="D41" s="48" t="inlineStr">
        <is>
          <t>Team Management</t>
        </is>
      </c>
      <c r="E41" s="54" t="inlineStr">
        <is>
          <t>CD Lead – Phong</t>
        </is>
      </c>
      <c r="F41" s="55" t="inlineStr">
        <is>
          <t>PM – Nghĩa; Tất cả Lead: Hưng, Phong, Nam, Đạt, Bằng, Danh, Huy</t>
        </is>
      </c>
      <c r="G41" s="55" t="inlineStr">
        <is>
          <t>Team Charter bản nháp</t>
        </is>
      </c>
      <c r="H41" s="48" t="inlineStr">
        <is>
          <t>Small</t>
        </is>
      </c>
      <c r="I41" s="50" t="n">
        <v>46313</v>
      </c>
      <c r="J41" s="51" t="n">
        <v>46313.91666666666</v>
      </c>
      <c r="K41" s="48" t="inlineStr">
        <is>
          <t>High</t>
        </is>
      </c>
      <c r="L41" s="52" t="inlineStr">
        <is>
          <t>Chưa bắt đầu</t>
        </is>
      </c>
      <c r="M41" s="55" t="inlineStr">
        <is>
          <t>Quy tắc cụ thể, có người quyết định và thời hạn phản hồi</t>
        </is>
      </c>
      <c r="N41" s="53" t="inlineStr">
        <is>
          <t>01_Project_Charter</t>
        </is>
      </c>
      <c r="O41" s="55" t="inlineStr">
        <is>
          <t>Link Team Charter</t>
        </is>
      </c>
    </row>
    <row r="42" ht="49.5" customHeight="1" s="89">
      <c r="A42" s="45" t="inlineStr">
        <is>
          <t>6.3</t>
        </is>
      </c>
      <c r="B42" s="46" t="inlineStr">
        <is>
          <t>BT6</t>
        </is>
      </c>
      <c r="C42" s="55" t="inlineStr">
        <is>
          <t>Chốt nguyên tắc trung thực dữ liệu và thu xác nhận của từng thành viên</t>
        </is>
      </c>
      <c r="D42" s="48" t="inlineStr">
        <is>
          <t>Meeting</t>
        </is>
      </c>
      <c r="E42" s="54" t="inlineStr">
        <is>
          <t>EO Lead – Đạt</t>
        </is>
      </c>
      <c r="F42" s="55" t="inlineStr">
        <is>
          <t>CD Lead – Phong; PM – Nghĩa</t>
        </is>
      </c>
      <c r="G42" s="55" t="inlineStr">
        <is>
          <t>Team Charter đã xác nhận</t>
        </is>
      </c>
      <c r="H42" s="48" t="inlineStr">
        <is>
          <t>XSmall</t>
        </is>
      </c>
      <c r="I42" s="50" t="n">
        <v>46313</v>
      </c>
      <c r="J42" s="51" t="n">
        <v>46313.95833333334</v>
      </c>
      <c r="K42" s="48" t="inlineStr">
        <is>
          <t>High</t>
        </is>
      </c>
      <c r="L42" s="52" t="inlineStr">
        <is>
          <t>Chưa bắt đầu</t>
        </is>
      </c>
      <c r="M42" s="55" t="inlineStr">
        <is>
          <t>Phân biệt dữ liệu thật/ước tính/giả định; mỗi thành viên xác nhận trách nhiệm</t>
        </is>
      </c>
      <c r="N42" s="53" t="inlineStr">
        <is>
          <t>01_Project_Charter</t>
        </is>
      </c>
      <c r="O42" s="55" t="inlineStr">
        <is>
          <t>Biên bản/ảnh xác nhận</t>
        </is>
      </c>
    </row>
    <row r="43" ht="49.5" customHeight="1" s="89">
      <c r="A43" s="45" t="inlineStr">
        <is>
          <t>7.1</t>
        </is>
      </c>
      <c r="B43" s="46" t="inlineStr">
        <is>
          <t>BT7</t>
        </is>
      </c>
      <c r="C43" s="55" t="inlineStr">
        <is>
          <t>Tạo Task Board và 4 trạng thái bắt buộc</t>
        </is>
      </c>
      <c r="D43" s="48" t="inlineStr">
        <is>
          <t>Team Management</t>
        </is>
      </c>
      <c r="E43" s="54" t="inlineStr">
        <is>
          <t>PM – Nghĩa</t>
        </is>
      </c>
      <c r="F43" s="55" t="inlineStr">
        <is>
          <t>EO Lead – Đạt</t>
        </is>
      </c>
      <c r="G43" s="55" t="inlineStr">
        <is>
          <t>Board có Backlog/To do, In Progress, Review/Verify, Done</t>
        </is>
      </c>
      <c r="H43" s="48" t="inlineStr">
        <is>
          <t>Small</t>
        </is>
      </c>
      <c r="I43" s="50" t="n">
        <v>46313</v>
      </c>
      <c r="J43" s="51" t="n">
        <v>46313.91666666666</v>
      </c>
      <c r="K43" s="48" t="inlineStr">
        <is>
          <t>High</t>
        </is>
      </c>
      <c r="L43" s="52" t="inlineStr">
        <is>
          <t>Chưa bắt đầu</t>
        </is>
      </c>
      <c r="M43" s="55" t="inlineStr">
        <is>
          <t>Link truy cập được; quy định rõ điều kiện chuyển trạng thái</t>
        </is>
      </c>
      <c r="N43" s="53" t="inlineStr">
        <is>
          <t>06_Weekly_Reports</t>
        </is>
      </c>
      <c r="O43" s="55" t="inlineStr">
        <is>
          <t>Link/ảnh board</t>
        </is>
      </c>
    </row>
    <row r="44" ht="49.5" customHeight="1" s="89">
      <c r="A44" s="45" t="inlineStr">
        <is>
          <t>7.2</t>
        </is>
      </c>
      <c r="B44" s="46" t="inlineStr">
        <is>
          <t>BT7</t>
        </is>
      </c>
      <c r="C44" s="55" t="inlineStr">
        <is>
          <t>Tạo task Tuần 1 có owner, deadline, priority, khối lượng/Story points; phác thảo epic 8 tuần</t>
        </is>
      </c>
      <c r="D44" s="48" t="inlineStr">
        <is>
          <t>Team Management</t>
        </is>
      </c>
      <c r="E44" s="54" t="inlineStr">
        <is>
          <t>EO Lead – Đạt</t>
        </is>
      </c>
      <c r="F44" s="55" t="inlineStr">
        <is>
          <t>PM – Nghĩa; Tất cả Lead: Hưng, Phong, Nam, Đạt, Bằng, Danh, Huy</t>
        </is>
      </c>
      <c r="G44" s="55" t="inlineStr">
        <is>
          <t>Danh sách task Tuần 1 và kế hoạch 8 tuần</t>
        </is>
      </c>
      <c r="H44" s="48" t="inlineStr">
        <is>
          <t>Medium</t>
        </is>
      </c>
      <c r="I44" s="50" t="n">
        <v>46313</v>
      </c>
      <c r="J44" s="51" t="n">
        <v>46313.9375</v>
      </c>
      <c r="K44" s="48" t="inlineStr">
        <is>
          <t>High</t>
        </is>
      </c>
      <c r="L44" s="52" t="inlineStr">
        <is>
          <t>Chưa bắt đầu</t>
        </is>
      </c>
      <c r="M44" s="55" t="inlineStr">
        <is>
          <t>Không thiếu WHAT/WHY, role, priority, Story points, start/end; Jira/Gantt theo mốc Sprint 2 của PCG</t>
        </is>
      </c>
      <c r="N44" s="53" t="inlineStr">
        <is>
          <t>06_Weekly_Reports</t>
        </is>
      </c>
      <c r="O44" s="55" t="inlineStr">
        <is>
          <t>Ảnh assignee/deadline</t>
        </is>
      </c>
    </row>
    <row r="45" ht="49.5" customHeight="1" s="89">
      <c r="A45" s="45" t="inlineStr">
        <is>
          <t>7.3</t>
        </is>
      </c>
      <c r="B45" s="46" t="inlineStr">
        <is>
          <t>BT7</t>
        </is>
      </c>
      <c r="C45" s="55" t="inlineStr">
        <is>
          <t>Viết Description, Definition of Done, minh chứng; chia sẻ và chụp board</t>
        </is>
      </c>
      <c r="D45" s="48" t="inlineStr">
        <is>
          <t>Document</t>
        </is>
      </c>
      <c r="E45" s="54" t="inlineStr">
        <is>
          <t>CD Lead – Phong</t>
        </is>
      </c>
      <c r="F45" s="55" t="inlineStr">
        <is>
          <t>EO Lead – Đạt; PM – Nghĩa</t>
        </is>
      </c>
      <c r="G45" s="55" t="inlineStr">
        <is>
          <t>Task có WHAT/WHY, output và evidence</t>
        </is>
      </c>
      <c r="H45" s="48" t="inlineStr">
        <is>
          <t>Small</t>
        </is>
      </c>
      <c r="I45" s="50" t="n">
        <v>46313</v>
      </c>
      <c r="J45" s="51" t="n">
        <v>46313.95833333334</v>
      </c>
      <c r="K45" s="48" t="inlineStr">
        <is>
          <t>High</t>
        </is>
      </c>
      <c r="L45" s="52" t="inlineStr">
        <is>
          <t>Chưa bắt đầu</t>
        </is>
      </c>
      <c r="M45" s="55" t="inlineStr">
        <is>
          <t>Không chuyển Done nếu chưa có kết quả kiểm tra được</t>
        </is>
      </c>
      <c r="N45" s="53" t="inlineStr">
        <is>
          <t>06_Weekly_Reports</t>
        </is>
      </c>
      <c r="O45" s="55" t="inlineStr">
        <is>
          <t>Link + screenshot</t>
        </is>
      </c>
    </row>
    <row r="46" ht="49.5" customHeight="1" s="89">
      <c r="A46" s="45" t="inlineStr">
        <is>
          <t>8.1</t>
        </is>
      </c>
      <c r="B46" s="46" t="inlineStr">
        <is>
          <t>BT8</t>
        </is>
      </c>
      <c r="C46" s="55" t="inlineStr">
        <is>
          <t>Tạo 7 thư mục theo đề và thiết lập quyền truy cập</t>
        </is>
      </c>
      <c r="D46" s="48" t="inlineStr">
        <is>
          <t>Document</t>
        </is>
      </c>
      <c r="E46" s="54" t="inlineStr">
        <is>
          <t>CD Lead – Phong</t>
        </is>
      </c>
      <c r="F46" s="55" t="inlineStr">
        <is>
          <t>Operations Lead – Hưng; PM – Nghĩa</t>
        </is>
      </c>
      <c r="G46" s="55" t="inlineStr">
        <is>
          <t>Kho Drive đủ cấu trúc và quyền</t>
        </is>
      </c>
      <c r="H46" s="48" t="inlineStr">
        <is>
          <t>Small</t>
        </is>
      </c>
      <c r="I46" s="50" t="n">
        <v>46313</v>
      </c>
      <c r="J46" s="51" t="n">
        <v>46314.375</v>
      </c>
      <c r="K46" s="48" t="inlineStr">
        <is>
          <t>High</t>
        </is>
      </c>
      <c r="L46" s="52" t="inlineStr">
        <is>
          <t>Chưa bắt đầu</t>
        </is>
      </c>
      <c r="M46" s="55" t="inlineStr">
        <is>
          <t>7 thư mục con nằm trong folder team do PC tạo; quyền và link mở được; có người quản lý</t>
        </is>
      </c>
      <c r="N46" s="53" t="inlineStr">
        <is>
          <t>01_Project_Charter</t>
        </is>
      </c>
      <c r="O46" s="55" t="inlineStr">
        <is>
          <t>Link/ảnh quyền</t>
        </is>
      </c>
    </row>
    <row r="47" ht="49.5" customHeight="1" s="89">
      <c r="A47" s="45" t="inlineStr">
        <is>
          <t>8.2</t>
        </is>
      </c>
      <c r="B47" s="46" t="inlineStr">
        <is>
          <t>BT8</t>
        </is>
      </c>
      <c r="C47" s="55" t="inlineStr">
        <is>
          <t>Quy định đặt tên, phiên bản; yêu cầu từng Lead tải minh chứng ban đầu</t>
        </is>
      </c>
      <c r="D47" s="48" t="inlineStr">
        <is>
          <t>Document</t>
        </is>
      </c>
      <c r="E47" s="54" t="inlineStr">
        <is>
          <t>CD Lead – Phong</t>
        </is>
      </c>
      <c r="F47" s="55" t="inlineStr">
        <is>
          <t>Tất cả Lead: Hưng, Phong, Nam, Đạt, Bằng, Danh, Huy</t>
        </is>
      </c>
      <c r="G47" s="55" t="inlineStr">
        <is>
          <t>Naming rule và tài liệu phiên bản đầu</t>
        </is>
      </c>
      <c r="H47" s="48" t="inlineStr">
        <is>
          <t>Small</t>
        </is>
      </c>
      <c r="I47" s="50" t="n">
        <v>46314</v>
      </c>
      <c r="J47" s="51" t="n">
        <v>46314.45833333334</v>
      </c>
      <c r="K47" s="48" t="inlineStr">
        <is>
          <t>High</t>
        </is>
      </c>
      <c r="L47" s="52" t="inlineStr">
        <is>
          <t>Chưa bắt đầu</t>
        </is>
      </c>
      <c r="M47" s="55" t="inlineStr">
        <is>
          <t>Mỗi mảng có ít nhất một tài liệu thật, ghi ngày và nguồn khi phù hợp</t>
        </is>
      </c>
      <c r="N47" s="53" t="inlineStr">
        <is>
          <t>01_Project_Charter</t>
        </is>
      </c>
      <c r="O47" s="55" t="inlineStr">
        <is>
          <t>Link từng thư mục</t>
        </is>
      </c>
    </row>
    <row r="48" ht="49.5" customHeight="1" s="89">
      <c r="A48" s="45" t="inlineStr">
        <is>
          <t>8.3</t>
        </is>
      </c>
      <c r="B48" s="46" t="inlineStr">
        <is>
          <t>BT8</t>
        </is>
      </c>
      <c r="C48" s="55" t="inlineStr">
        <is>
          <t>Kiểm tra link, quyền, ngày nguồn và khả năng truy vết</t>
        </is>
      </c>
      <c r="D48" s="48" t="inlineStr">
        <is>
          <t>Document</t>
        </is>
      </c>
      <c r="E48" s="54" t="inlineStr">
        <is>
          <t>EO Lead – Đạt</t>
        </is>
      </c>
      <c r="F48" s="55" t="inlineStr">
        <is>
          <t>CD Lead – Phong</t>
        </is>
      </c>
      <c r="G48" s="55" t="inlineStr">
        <is>
          <t>Checklist QA kho minh chứng</t>
        </is>
      </c>
      <c r="H48" s="48" t="inlineStr">
        <is>
          <t>XSmall</t>
        </is>
      </c>
      <c r="I48" s="50" t="n">
        <v>46314</v>
      </c>
      <c r="J48" s="51" t="n">
        <v>46314.5</v>
      </c>
      <c r="K48" s="48" t="inlineStr">
        <is>
          <t>High</t>
        </is>
      </c>
      <c r="L48" s="52" t="inlineStr">
        <is>
          <t>Chưa bắt đầu</t>
        </is>
      </c>
      <c r="M48" s="55" t="inlineStr">
        <is>
          <t>Không có link hỏng; dữ liệu thật, ước tính, giả định được đánh dấu</t>
        </is>
      </c>
      <c r="N48" s="53" t="inlineStr">
        <is>
          <t>06_Weekly_Reports</t>
        </is>
      </c>
      <c r="O48" s="55" t="inlineStr">
        <is>
          <t>QA checklist</t>
        </is>
      </c>
    </row>
    <row r="49" ht="49.5" customHeight="1" s="89">
      <c r="A49" s="45" t="inlineStr">
        <is>
          <t>9.1</t>
        </is>
      </c>
      <c r="B49" s="46" t="inlineStr">
        <is>
          <t>BT9</t>
        </is>
      </c>
      <c r="C49" s="55" t="inlineStr">
        <is>
          <t>Thu đầu ra đã duyệt; viết Week 1 Summary 300-500 từ</t>
        </is>
      </c>
      <c r="D49" s="48" t="inlineStr">
        <is>
          <t>Document</t>
        </is>
      </c>
      <c r="E49" s="54" t="inlineStr">
        <is>
          <t>CD Lead – Phong</t>
        </is>
      </c>
      <c r="F49" s="55" t="inlineStr">
        <is>
          <t>PM – Nghĩa; Tất cả Lead: Hưng, Phong, Nam, Đạt, Bằng, Danh, Huy</t>
        </is>
      </c>
      <c r="G49" s="55" t="inlineStr">
        <is>
          <t>Week 1 Summary</t>
        </is>
      </c>
      <c r="H49" s="48" t="inlineStr">
        <is>
          <t>Medium</t>
        </is>
      </c>
      <c r="I49" s="50" t="n">
        <v>46315</v>
      </c>
      <c r="J49" s="51" t="n">
        <v>46316.5</v>
      </c>
      <c r="K49" s="48" t="inlineStr">
        <is>
          <t>High</t>
        </is>
      </c>
      <c r="L49" s="52" t="inlineStr">
        <is>
          <t>Chưa bắt đầu</t>
        </is>
      </c>
      <c r="M49" s="55" t="inlineStr">
        <is>
          <t>Đủ sản phẩm, lý do, bằng chứng, giả định, ngân sách, phân công, rủi ro, Tuần 2</t>
        </is>
      </c>
      <c r="N49" s="53" t="inlineStr">
        <is>
          <t>06_Weekly_Reports</t>
        </is>
      </c>
      <c r="O49" s="55" t="inlineStr">
        <is>
          <t>Link bản nháp</t>
        </is>
      </c>
    </row>
    <row r="50" ht="49.5" customHeight="1" s="89">
      <c r="A50" s="45" t="inlineStr">
        <is>
          <t>9.2</t>
        </is>
      </c>
      <c r="B50" s="46" t="inlineStr">
        <is>
          <t>BT9</t>
        </is>
      </c>
      <c r="C50" s="55" t="inlineStr">
        <is>
          <t>Ghép file Word có bìa, thông tin nhóm, mục lục, bảng và các link</t>
        </is>
      </c>
      <c r="D50" s="48" t="inlineStr">
        <is>
          <t>Document</t>
        </is>
      </c>
      <c r="E50" s="54" t="inlineStr">
        <is>
          <t>CD Lead – Phong</t>
        </is>
      </c>
      <c r="F50" s="55" t="inlineStr">
        <is>
          <t>PM – Nghĩa</t>
        </is>
      </c>
      <c r="G50" s="55" t="inlineStr">
        <is>
          <t>01 file Word tổng hợp</t>
        </is>
      </c>
      <c r="H50" s="48" t="inlineStr">
        <is>
          <t>Medium</t>
        </is>
      </c>
      <c r="I50" s="50" t="n">
        <v>46316</v>
      </c>
      <c r="J50" s="51" t="n">
        <v>46316.625</v>
      </c>
      <c r="K50" s="48" t="inlineStr">
        <is>
          <t>High</t>
        </is>
      </c>
      <c r="L50" s="52" t="inlineStr">
        <is>
          <t>Chưa bắt đầu</t>
        </is>
      </c>
      <c r="M50" s="55" t="inlineStr">
        <is>
          <t>Link Task Board/Drive mở được; tên file đúng quy định</t>
        </is>
      </c>
      <c r="N50" s="53" t="inlineStr">
        <is>
          <t>07_Final_Report</t>
        </is>
      </c>
      <c r="O50" s="55" t="inlineStr">
        <is>
          <t>Link file Word</t>
        </is>
      </c>
    </row>
    <row r="51" ht="49.5" customHeight="1" s="89">
      <c r="A51" s="45" t="inlineStr">
        <is>
          <t>9.3</t>
        </is>
      </c>
      <c r="B51" s="46" t="inlineStr">
        <is>
          <t>BT9</t>
        </is>
      </c>
      <c r="C51" s="55" t="inlineStr">
        <is>
          <t>QA số liệu và tính trung thực; PM review, sửa cuối và chốt nộp</t>
        </is>
      </c>
      <c r="D51" s="48" t="inlineStr">
        <is>
          <t>Document</t>
        </is>
      </c>
      <c r="E51" s="54" t="inlineStr">
        <is>
          <t>EO Lead – Đạt</t>
        </is>
      </c>
      <c r="F51" s="55" t="inlineStr">
        <is>
          <t>PM – Nghĩa; PP Lead – Bằng; MR Lead – Huy</t>
        </is>
      </c>
      <c r="G51" s="55" t="inlineStr">
        <is>
          <t>Bộ hồ sơ Tuần 1 hoàn chỉnh</t>
        </is>
      </c>
      <c r="H51" s="48" t="inlineStr">
        <is>
          <t>Small</t>
        </is>
      </c>
      <c r="I51" s="50" t="n">
        <v>46316</v>
      </c>
      <c r="J51" s="51" t="n">
        <v>46316.75</v>
      </c>
      <c r="K51" s="48" t="inlineStr">
        <is>
          <t>High</t>
        </is>
      </c>
      <c r="L51" s="52" t="inlineStr">
        <is>
          <t>Chưa bắt đầu</t>
        </is>
      </c>
      <c r="M51" s="55" t="inlineStr">
        <is>
          <t>Số liệu nhất quán; không dữ liệu giả; tất cả thành viên hiểu phần phụ trách</t>
        </is>
      </c>
      <c r="N51" s="53" t="inlineStr">
        <is>
          <t>07_Final_Report</t>
        </is>
      </c>
      <c r="O51" s="55" t="inlineStr">
        <is>
          <t>QA + bản final</t>
        </is>
      </c>
    </row>
    <row r="52" ht="15.75" customHeight="1" s="89"/>
    <row r="53" ht="15.75" customHeight="1" s="89"/>
    <row r="54" ht="15.75" customHeight="1" s="89">
      <c r="A54" s="56" t="inlineStr">
        <is>
          <t>BỔ SUNG ĐỂ KHỚP SPRINT 1 CỦA PCG (ngoài 9 bài tập trong đề)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7" t="n"/>
      <c r="L54" s="57" t="n"/>
      <c r="M54" s="57" t="n"/>
      <c r="N54" s="57" t="n"/>
    </row>
    <row r="55" ht="15.75" customHeight="1" s="89">
      <c r="A55" s="59" t="inlineStr">
        <is>
          <t>Mã việc</t>
        </is>
      </c>
      <c r="B55" s="59" t="inlineStr">
        <is>
          <t>Nguồn</t>
        </is>
      </c>
      <c r="C55" s="59" t="inlineStr">
        <is>
          <t>Nhiệm vụ chi tiết</t>
        </is>
      </c>
      <c r="D55" s="44" t="inlineStr">
        <is>
          <t>Category</t>
        </is>
      </c>
      <c r="E55" s="59" t="inlineStr">
        <is>
          <t>Phụ trách chính</t>
        </is>
      </c>
      <c r="F55" s="59" t="inlineStr">
        <is>
          <t>Người hỗ trợ</t>
        </is>
      </c>
      <c r="G55" s="59" t="inlineStr">
        <is>
          <t>Kết quả bàn giao</t>
        </is>
      </c>
      <c r="H55" s="44" t="inlineStr">
        <is>
          <t>Story points</t>
        </is>
      </c>
      <c r="I55" s="44" t="inlineStr">
        <is>
          <t>Start date</t>
        </is>
      </c>
      <c r="J55" s="59" t="inlineStr">
        <is>
          <t>Hạn PCG</t>
        </is>
      </c>
      <c r="K55" s="44" t="inlineStr">
        <is>
          <t>Priority</t>
        </is>
      </c>
      <c r="L55" s="59" t="inlineStr">
        <is>
          <t>Trạng thái thực tế</t>
        </is>
      </c>
      <c r="M55" s="59" t="inlineStr">
        <is>
          <t>Tiêu chí hoàn thành</t>
        </is>
      </c>
      <c r="N55" s="59" t="inlineStr">
        <is>
          <t>Nơi nộp file (Drive nhóm)</t>
        </is>
      </c>
      <c r="O55" s="59" t="inlineStr">
        <is>
          <t>Nguồn/Mẫu</t>
        </is>
      </c>
    </row>
    <row r="56" ht="56.25" customHeight="1" s="89">
      <c r="A56" s="60" t="inlineStr">
        <is>
          <t>PCG-01</t>
        </is>
      </c>
      <c r="B56" s="60" t="inlineStr">
        <is>
          <t>Sprint 1</t>
        </is>
      </c>
      <c r="C56" s="60" t="inlineStr">
        <is>
          <t>Cập nhật Project Overview: thành viên, vai trò, tên dự án dự kiến và link folder team; ghi rõ mục chưa chốt</t>
        </is>
      </c>
      <c r="D56" s="48" t="inlineStr">
        <is>
          <t>Document</t>
        </is>
      </c>
      <c r="E56" s="60" t="inlineStr">
        <is>
          <t>PM – Nghĩa</t>
        </is>
      </c>
      <c r="F56" s="60" t="inlineStr">
        <is>
          <t>CD Lead – Phong</t>
        </is>
      </c>
      <c r="G56" s="60" t="inlineStr">
        <is>
          <t>Project Overview và folder mở được với PIC/lead PCG</t>
        </is>
      </c>
      <c r="H56" s="48" t="inlineStr">
        <is>
          <t>Small</t>
        </is>
      </c>
      <c r="I56" s="50" t="n">
        <v>46313</v>
      </c>
      <c r="J56" s="61" t="inlineStr">
        <is>
          <t>18/10/2026</t>
        </is>
      </c>
      <c r="K56" s="48" t="inlineStr">
        <is>
          <t>High</t>
        </is>
      </c>
      <c r="L56" s="60" t="inlineStr">
        <is>
          <t>Chưa xác nhận</t>
        </is>
      </c>
      <c r="M56" s="60" t="inlineStr">
        <is>
          <t>Đúng đầu mối; 8 vai trò; link kiểm tra được</t>
        </is>
      </c>
      <c r="N56" s="62" t="inlineStr">
        <is>
          <t>01_Project_Charter</t>
        </is>
      </c>
      <c r="O56" s="60" t="inlineStr">
        <is>
          <t>Nguồn: Workspace → 5. Sprint planning, dòng Sprint 1</t>
        </is>
      </c>
    </row>
    <row r="57" ht="56.25" customHeight="1" s="89">
      <c r="A57" s="60" t="inlineStr">
        <is>
          <t>PCG-02</t>
        </is>
      </c>
      <c r="B57" s="60" t="inlineStr">
        <is>
          <t>Sprint 1</t>
        </is>
      </c>
      <c r="C57" s="60" t="inlineStr">
        <is>
          <t>Lập dự toán sơ bộ trong mẫu Budget &amp; Sales Tracker; ghi giá có căn cứ; phân biệt vốn góp, doanh thu, chi phí, tồn</t>
        </is>
      </c>
      <c r="D57" s="48" t="inlineStr">
        <is>
          <t>Document</t>
        </is>
      </c>
      <c r="E57" s="60" t="inlineStr">
        <is>
          <t>PP Lead – Bằng</t>
        </is>
      </c>
      <c r="F57" s="60" t="inlineStr">
        <is>
          <t>EO Lead – Đạt; SO/Sales Lead – Nam; Operations Lead – Hưng</t>
        </is>
      </c>
      <c r="G57" s="60" t="inlineStr">
        <is>
          <t>Project Budget bản đầu; Thu-Chi chỉ ghi giao dịch đã phát sinh</t>
        </is>
      </c>
      <c r="H57" s="48" t="inlineStr">
        <is>
          <t>Medium</t>
        </is>
      </c>
      <c r="I57" s="50" t="n">
        <v>46314</v>
      </c>
      <c r="J57" s="61" t="inlineStr">
        <is>
          <t>20/10/2026</t>
        </is>
      </c>
      <c r="K57" s="48" t="inlineStr">
        <is>
          <t>High</t>
        </is>
      </c>
      <c r="L57" s="60" t="inlineStr">
        <is>
          <t>Chưa xác nhận</t>
        </is>
      </c>
      <c r="M57" s="60" t="inlineStr">
        <is>
          <t>Dự toán ≤500.000 VND; không ghi số ước tính vào sổ tiền thực tế</t>
        </is>
      </c>
      <c r="N57" s="62" t="inlineStr">
        <is>
          <t>03_Budget_and_Finance</t>
        </is>
      </c>
      <c r="O57" s="60" t="inlineStr">
        <is>
          <t>Mẫu: GroupX_Budget &amp; Sales Tracker</t>
        </is>
      </c>
    </row>
    <row r="58" ht="56.25" customHeight="1" s="89">
      <c r="A58" s="60" t="inlineStr">
        <is>
          <t>PCG-03</t>
        </is>
      </c>
      <c r="B58" s="60" t="inlineStr">
        <is>
          <t>Sprint 1</t>
        </is>
      </c>
      <c r="C58" s="60" t="inlineStr">
        <is>
          <t>Ghi các rủi ro ban đầu vào Risk &amp; Issue Log; chỉ ghi Issue khi sự việc thực sự xảy ra</t>
        </is>
      </c>
      <c r="D58" s="48" t="inlineStr">
        <is>
          <t>Document</t>
        </is>
      </c>
      <c r="E58" s="60" t="inlineStr">
        <is>
          <t>EO Lead – Đạt</t>
        </is>
      </c>
      <c r="F58" s="60" t="inlineStr">
        <is>
          <t>PM – Nghĩa; Operations Lead – Hưng</t>
        </is>
      </c>
      <c r="G58" s="60" t="inlineStr">
        <is>
          <t>Risk Register có ID R-xx, tác động, xác suất, biện pháp, owner</t>
        </is>
      </c>
      <c r="H58" s="48" t="inlineStr">
        <is>
          <t>Small</t>
        </is>
      </c>
      <c r="I58" s="50" t="n">
        <v>46314</v>
      </c>
      <c r="J58" s="61" t="inlineStr">
        <is>
          <t>20/10/2026</t>
        </is>
      </c>
      <c r="K58" s="48" t="inlineStr">
        <is>
          <t>High</t>
        </is>
      </c>
      <c r="L58" s="60" t="inlineStr">
        <is>
          <t>Chưa xác nhận</t>
        </is>
      </c>
      <c r="M58" s="60" t="inlineStr">
        <is>
          <t>Rủi ro có phương án và hạn; không dùng dòng ví dụ như dữ liệu thật</t>
        </is>
      </c>
      <c r="N58" s="62" t="inlineStr">
        <is>
          <t>01_Project_Charter</t>
        </is>
      </c>
      <c r="O58" s="60" t="inlineStr">
        <is>
          <t>Mẫu: GroupX_Risk Register</t>
        </is>
      </c>
    </row>
    <row r="59" ht="56.25" customHeight="1" s="89">
      <c r="A59" s="60" t="inlineStr">
        <is>
          <t>PCG-04</t>
        </is>
      </c>
      <c r="B59" s="60" t="inlineStr">
        <is>
          <t>Sprint 1</t>
        </is>
      </c>
      <c r="C59" s="60" t="inlineStr">
        <is>
          <t>Lập Weekly Report theo mẫu PCG: kế hoạch/thực tế, chi phí, tiếp cận/đơn/doanh thu, chất lượng, risk/issue, hành động Sprint 2</t>
        </is>
      </c>
      <c r="D59" s="48" t="inlineStr">
        <is>
          <t>Document</t>
        </is>
      </c>
      <c r="E59" s="60" t="inlineStr">
        <is>
          <t>CD Lead – Phong</t>
        </is>
      </c>
      <c r="F59" s="60" t="inlineStr">
        <is>
          <t>PM – Nghĩa; EO Lead – Đạt; tất cả Lead</t>
        </is>
      </c>
      <c r="G59" s="60" t="inlineStr">
        <is>
          <t>Weekly Report Sprint 1 có link hồ sơ và điểm chưa hoàn thành</t>
        </is>
      </c>
      <c r="H59" s="48" t="inlineStr">
        <is>
          <t>Medium</t>
        </is>
      </c>
      <c r="I59" s="50" t="n">
        <v>46315</v>
      </c>
      <c r="J59" s="61" t="inlineStr">
        <is>
          <t>21/10/2026</t>
        </is>
      </c>
      <c r="K59" s="48" t="inlineStr">
        <is>
          <t>High</t>
        </is>
      </c>
      <c r="L59" s="60" t="inlineStr">
        <is>
          <t>Chưa xác nhận</t>
        </is>
      </c>
      <c r="M59" s="60" t="inlineStr">
        <is>
          <t>Chưa phát sinh ghi 0; chưa có dữ liệu ghi rõ; số liệu khớp tracker</t>
        </is>
      </c>
      <c r="N59" s="62" t="inlineStr">
        <is>
          <t>06_Weekly_Reports</t>
        </is>
      </c>
      <c r="O59" s="60" t="inlineStr">
        <is>
          <t>Mẫu: GroupX_Weekly Report</t>
        </is>
      </c>
    </row>
    <row r="60" ht="56.25" customHeight="1" s="89">
      <c r="A60" s="60" t="inlineStr">
        <is>
          <t>PCG-05</t>
        </is>
      </c>
      <c r="B60" s="60" t="inlineStr">
        <is>
          <t>Sprint 1</t>
        </is>
      </c>
      <c r="C60" s="60" t="inlineStr">
        <is>
          <t>PM gửi PIC bộ hồ sơ khởi động và rà soát Sprint 1; ghi nhận yêu cầu sửa, owner và hạn; chuẩn bị plan/KPI Sprint 2 trước 1 ngày họp sprint</t>
        </is>
      </c>
      <c r="D60" s="48" t="inlineStr">
        <is>
          <t>Meeting</t>
        </is>
      </c>
      <c r="E60" s="60" t="inlineStr">
        <is>
          <t>PM – Nghĩa</t>
        </is>
      </c>
      <c r="F60" s="60" t="inlineStr">
        <is>
          <t>CD Lead – Phong; EO Lead – Đạt; tất cả Lead</t>
        </is>
      </c>
      <c r="G60" s="60" t="inlineStr">
        <is>
          <t>Link hồ sơ, biên bản/recap, danh sách việc Sprint 2 và KPI</t>
        </is>
      </c>
      <c r="H60" s="48" t="inlineStr">
        <is>
          <t>Small</t>
        </is>
      </c>
      <c r="I60" s="50" t="n">
        <v>46315</v>
      </c>
      <c r="J60" s="61" t="inlineStr">
        <is>
          <t>21/10/2026</t>
        </is>
      </c>
      <c r="K60" s="48" t="inlineStr">
        <is>
          <t>High</t>
        </is>
      </c>
      <c r="L60" s="60" t="inlineStr">
        <is>
          <t>Chưa xác nhận</t>
        </is>
      </c>
      <c r="M60" s="60" t="inlineStr">
        <is>
          <t>PIC xem được minh chứng; feedback được cập nhật; lịch họp ≤30 phút</t>
        </is>
      </c>
      <c r="N60" s="62" t="inlineStr">
        <is>
          <t>06_Weekly_Reports</t>
        </is>
      </c>
      <c r="O60" s="60" t="inlineStr">
        <is>
          <t>Nguồn: Workspace → 0. Readme; 5. Sprint planning</t>
        </is>
      </c>
    </row>
    <row r="61" ht="15.75" customHeight="1" s="89"/>
    <row r="62" ht="15.75" customHeight="1" s="89"/>
    <row r="63" ht="15.75" customHeight="1" s="89"/>
    <row r="64" ht="15.75" customHeight="1" s="89"/>
    <row r="65" ht="15.75" customHeight="1" s="89"/>
    <row r="66" ht="15.75" customHeight="1" s="89"/>
    <row r="67" ht="15.75" customHeight="1" s="89"/>
    <row r="68" ht="15.75" customHeight="1" s="89"/>
    <row r="69" ht="15.75" customHeight="1" s="89"/>
    <row r="70" ht="15.75" customHeight="1" s="89"/>
    <row r="71" ht="15.75" customHeight="1" s="89"/>
    <row r="72" ht="15.75" customHeight="1" s="89"/>
    <row r="73" ht="15.75" customHeight="1" s="89"/>
    <row r="74" ht="15.75" customHeight="1" s="89"/>
    <row r="75" ht="15.75" customHeight="1" s="89"/>
    <row r="76" ht="15.75" customHeight="1" s="89"/>
    <row r="77" ht="15.75" customHeight="1" s="89"/>
    <row r="78" ht="15.75" customHeight="1" s="89"/>
    <row r="79" ht="15.75" customHeight="1" s="89"/>
    <row r="80" ht="15.75" customHeight="1" s="89"/>
    <row r="81" ht="15.75" customHeight="1" s="89"/>
    <row r="82" ht="15.75" customHeight="1" s="89"/>
    <row r="83" ht="15.75" customHeight="1" s="89"/>
    <row r="84" ht="15.75" customHeight="1" s="89"/>
    <row r="85" ht="15.75" customHeight="1" s="89"/>
    <row r="86" ht="15.75" customHeight="1" s="89"/>
    <row r="87" ht="15.75" customHeight="1" s="89"/>
    <row r="88" ht="15.75" customHeight="1" s="89"/>
    <row r="89" ht="15.75" customHeight="1" s="89"/>
    <row r="90" ht="15.75" customHeight="1" s="89"/>
    <row r="91" ht="15.75" customHeight="1" s="89"/>
    <row r="92" ht="15.75" customHeight="1" s="89"/>
    <row r="93" ht="15.75" customHeight="1" s="89"/>
    <row r="94" ht="15.75" customHeight="1" s="89"/>
    <row r="95" ht="15.75" customHeight="1" s="89"/>
    <row r="96" ht="15.75" customHeight="1" s="89"/>
    <row r="97" ht="15.75" customHeight="1" s="89"/>
    <row r="98" ht="15.75" customHeight="1" s="89"/>
    <row r="99" ht="15.75" customHeight="1" s="89"/>
    <row r="100" ht="15.75" customHeight="1" s="89"/>
    <row r="101" ht="15.75" customHeight="1" s="89"/>
    <row r="102" ht="15.75" customHeight="1" s="89"/>
    <row r="103" ht="15.75" customHeight="1" s="89"/>
    <row r="104" ht="15.75" customHeight="1" s="89"/>
    <row r="105" ht="15.75" customHeight="1" s="89"/>
    <row r="106" ht="15.75" customHeight="1" s="89"/>
    <row r="107" ht="15.75" customHeight="1" s="89"/>
    <row r="108" ht="15.75" customHeight="1" s="89"/>
    <row r="109" ht="15.75" customHeight="1" s="89"/>
    <row r="110" ht="15.75" customHeight="1" s="89"/>
    <row r="111" ht="15.75" customHeight="1" s="89"/>
    <row r="112" ht="15.75" customHeight="1" s="89"/>
    <row r="113" ht="15.75" customHeight="1" s="89"/>
    <row r="114" ht="15.75" customHeight="1" s="89"/>
    <row r="115" ht="15.75" customHeight="1" s="89"/>
    <row r="116" ht="15.75" customHeight="1" s="89"/>
    <row r="117" ht="15.75" customHeight="1" s="89"/>
    <row r="118" ht="15.75" customHeight="1" s="89"/>
    <row r="119" ht="15.75" customHeight="1" s="89"/>
    <row r="120" ht="15.75" customHeight="1" s="89"/>
    <row r="121" ht="15.75" customHeight="1" s="89"/>
    <row r="122" ht="15.75" customHeight="1" s="89"/>
    <row r="123" ht="15.75" customHeight="1" s="89"/>
    <row r="124" ht="15.75" customHeight="1" s="89"/>
    <row r="125" ht="15.75" customHeight="1" s="89"/>
    <row r="126" ht="15.75" customHeight="1" s="89"/>
    <row r="127" ht="15.75" customHeight="1" s="89"/>
    <row r="128" ht="15.75" customHeight="1" s="89"/>
    <row r="129" ht="15.75" customHeight="1" s="89"/>
    <row r="130" ht="15.75" customHeight="1" s="89"/>
    <row r="131" ht="15.75" customHeight="1" s="89"/>
    <row r="132" ht="15.75" customHeight="1" s="89"/>
    <row r="133" ht="15.75" customHeight="1" s="89"/>
    <row r="134" ht="15.75" customHeight="1" s="89"/>
    <row r="135" ht="15.75" customHeight="1" s="89"/>
    <row r="136" ht="15.75" customHeight="1" s="89"/>
    <row r="137" ht="15.75" customHeight="1" s="89"/>
    <row r="138" ht="15.75" customHeight="1" s="89"/>
    <row r="139" ht="15.75" customHeight="1" s="89"/>
    <row r="140" ht="15.75" customHeight="1" s="89"/>
    <row r="141" ht="15.75" customHeight="1" s="89"/>
    <row r="142" ht="15.75" customHeight="1" s="89"/>
    <row r="143" ht="15.75" customHeight="1" s="89"/>
    <row r="144" ht="15.75" customHeight="1" s="89"/>
    <row r="145" ht="15.75" customHeight="1" s="89"/>
    <row r="146" ht="15.75" customHeight="1" s="89"/>
    <row r="147" ht="15.75" customHeight="1" s="89"/>
    <row r="148" ht="15.75" customHeight="1" s="89"/>
    <row r="149" ht="15.75" customHeight="1" s="89"/>
    <row r="150" ht="15.75" customHeight="1" s="89"/>
    <row r="151" ht="15.75" customHeight="1" s="89"/>
    <row r="152" ht="15.75" customHeight="1" s="89"/>
    <row r="153" ht="15.75" customHeight="1" s="89"/>
    <row r="154" ht="15.75" customHeight="1" s="89"/>
    <row r="155" ht="15.75" customHeight="1" s="89"/>
    <row r="156" ht="15.75" customHeight="1" s="89"/>
    <row r="157" ht="15.75" customHeight="1" s="89"/>
    <row r="158" ht="15.75" customHeight="1" s="89"/>
    <row r="159" ht="15.75" customHeight="1" s="89"/>
    <row r="160" ht="15.75" customHeight="1" s="89"/>
    <row r="161" ht="15.75" customHeight="1" s="89"/>
    <row r="162" ht="15.75" customHeight="1" s="89"/>
    <row r="163" ht="15.75" customHeight="1" s="89"/>
    <row r="164" ht="15.75" customHeight="1" s="89"/>
    <row r="165" ht="15.75" customHeight="1" s="89"/>
    <row r="166" ht="15.75" customHeight="1" s="89"/>
    <row r="167" ht="15.75" customHeight="1" s="89"/>
    <row r="168" ht="15.75" customHeight="1" s="89"/>
    <row r="169" ht="15.75" customHeight="1" s="89"/>
    <row r="170" ht="15.75" customHeight="1" s="89"/>
    <row r="171" ht="15.75" customHeight="1" s="89"/>
    <row r="172" ht="15.75" customHeight="1" s="89"/>
    <row r="173" ht="15.75" customHeight="1" s="89"/>
    <row r="174" ht="15.75" customHeight="1" s="89"/>
    <row r="175" ht="15.75" customHeight="1" s="89"/>
    <row r="176" ht="15.75" customHeight="1" s="89"/>
    <row r="177" ht="15.75" customHeight="1" s="89"/>
    <row r="178" ht="15.75" customHeight="1" s="89"/>
    <row r="179" ht="15.75" customHeight="1" s="89"/>
    <row r="180" ht="15.75" customHeight="1" s="89"/>
    <row r="181" ht="15.75" customHeight="1" s="89"/>
    <row r="182" ht="15.75" customHeight="1" s="89"/>
    <row r="183" ht="15.75" customHeight="1" s="89"/>
    <row r="184" ht="15.75" customHeight="1" s="89"/>
    <row r="185" ht="15.75" customHeight="1" s="89"/>
    <row r="186" ht="15.75" customHeight="1" s="89"/>
    <row r="187" ht="15.75" customHeight="1" s="89"/>
    <row r="188" ht="15.75" customHeight="1" s="89"/>
    <row r="189" ht="15.75" customHeight="1" s="89"/>
    <row r="190" ht="15.75" customHeight="1" s="89"/>
    <row r="191" ht="15.75" customHeight="1" s="89"/>
    <row r="192" ht="15.75" customHeight="1" s="89"/>
    <row r="193" ht="15.75" customHeight="1" s="89"/>
    <row r="194" ht="15.75" customHeight="1" s="89"/>
    <row r="195" ht="15.75" customHeight="1" s="89"/>
    <row r="196" ht="15.75" customHeight="1" s="89"/>
    <row r="197" ht="15.75" customHeight="1" s="89"/>
    <row r="198" ht="15.75" customHeight="1" s="89"/>
    <row r="199" ht="15.75" customHeight="1" s="89"/>
    <row r="200" ht="15.75" customHeight="1" s="89"/>
    <row r="201" ht="15.75" customHeight="1" s="89"/>
    <row r="202" ht="15.75" customHeight="1" s="89"/>
    <row r="203" ht="15.75" customHeight="1" s="89"/>
    <row r="204" ht="15.75" customHeight="1" s="89"/>
    <row r="205" ht="15.75" customHeight="1" s="89"/>
    <row r="206" ht="15.75" customHeight="1" s="89"/>
    <row r="207" ht="15.75" customHeight="1" s="89"/>
    <row r="208" ht="15.75" customHeight="1" s="89"/>
    <row r="209" ht="15.75" customHeight="1" s="89"/>
    <row r="210" ht="15.75" customHeight="1" s="89"/>
    <row r="211" ht="15.75" customHeight="1" s="89"/>
    <row r="212" ht="15.75" customHeight="1" s="89"/>
    <row r="213" ht="15.75" customHeight="1" s="89"/>
    <row r="214" ht="15.75" customHeight="1" s="89"/>
    <row r="215" ht="15.75" customHeight="1" s="89"/>
    <row r="216" ht="15.75" customHeight="1" s="89"/>
    <row r="217" ht="15.75" customHeight="1" s="89"/>
    <row r="218" ht="15.75" customHeight="1" s="89"/>
    <row r="219" ht="15.75" customHeight="1" s="89"/>
    <row r="220" ht="15.75" customHeight="1" s="89"/>
    <row r="221" ht="15.75" customHeight="1" s="89"/>
    <row r="222" ht="15.75" customHeight="1" s="89"/>
    <row r="223" ht="15.75" customHeight="1" s="89"/>
    <row r="224" ht="15.75" customHeight="1" s="89"/>
    <row r="225" ht="15.75" customHeight="1" s="89"/>
    <row r="226" ht="15.75" customHeight="1" s="89"/>
    <row r="227" ht="15.75" customHeight="1" s="89"/>
    <row r="228" ht="15.75" customHeight="1" s="89"/>
    <row r="229" ht="15.75" customHeight="1" s="89"/>
    <row r="230" ht="15.75" customHeight="1" s="89"/>
    <row r="231" ht="15.75" customHeight="1" s="89"/>
    <row r="232" ht="15.75" customHeight="1" s="89"/>
    <row r="233" ht="15.75" customHeight="1" s="89"/>
    <row r="234" ht="15.75" customHeight="1" s="89"/>
    <row r="235" ht="15.75" customHeight="1" s="89"/>
    <row r="236" ht="15.75" customHeight="1" s="89"/>
    <row r="237" ht="15.75" customHeight="1" s="89"/>
    <row r="238" ht="15.75" customHeight="1" s="89"/>
    <row r="239" ht="15.75" customHeight="1" s="89"/>
    <row r="240" ht="15.75" customHeight="1" s="89"/>
    <row r="241" ht="15.75" customHeight="1" s="89"/>
    <row r="242" ht="15.75" customHeight="1" s="89"/>
    <row r="243" ht="15.75" customHeight="1" s="89"/>
    <row r="244" ht="15.75" customHeight="1" s="89"/>
    <row r="245" ht="15.75" customHeight="1" s="89"/>
    <row r="246" ht="15.75" customHeight="1" s="89"/>
    <row r="247" ht="15.75" customHeight="1" s="89"/>
    <row r="248" ht="15.75" customHeight="1" s="89"/>
    <row r="249" ht="15.75" customHeight="1" s="89"/>
    <row r="250" ht="15.75" customHeight="1" s="89"/>
    <row r="251" ht="15.75" customHeight="1" s="89"/>
    <row r="252" ht="15.75" customHeight="1" s="89"/>
    <row r="253" ht="15.75" customHeight="1" s="89"/>
    <row r="254" ht="15.75" customHeight="1" s="89"/>
    <row r="255" ht="15.75" customHeight="1" s="89"/>
    <row r="256" ht="15.75" customHeight="1" s="89"/>
    <row r="257" ht="15.75" customHeight="1" s="89"/>
    <row r="258" ht="15.75" customHeight="1" s="89"/>
    <row r="259" ht="15.75" customHeight="1" s="89"/>
    <row r="260" ht="15.75" customHeight="1" s="89"/>
    <row r="261" ht="15.75" customHeight="1" s="89"/>
    <row r="262" ht="15.75" customHeight="1" s="89"/>
    <row r="263" ht="15.75" customHeight="1" s="89"/>
    <row r="264" ht="15.75" customHeight="1" s="89"/>
    <row r="265" ht="15.75" customHeight="1" s="89"/>
    <row r="266" ht="15.75" customHeight="1" s="89"/>
    <row r="267" ht="15.75" customHeight="1" s="89"/>
    <row r="268" ht="15.75" customHeight="1" s="89"/>
    <row r="269" ht="15.75" customHeight="1" s="89"/>
    <row r="270" ht="15.75" customHeight="1" s="89"/>
    <row r="271" ht="15.75" customHeight="1" s="89"/>
    <row r="272" ht="15.75" customHeight="1" s="89"/>
    <row r="273" ht="15.75" customHeight="1" s="89"/>
    <row r="274" ht="15.75" customHeight="1" s="89"/>
    <row r="275" ht="15.75" customHeight="1" s="89"/>
    <row r="276" ht="15.75" customHeight="1" s="89"/>
    <row r="277" ht="15.75" customHeight="1" s="89"/>
    <row r="278" ht="15.75" customHeight="1" s="89"/>
    <row r="279" ht="15.75" customHeight="1" s="89"/>
    <row r="280" ht="15.75" customHeight="1" s="89"/>
    <row r="281" ht="15.75" customHeight="1" s="89"/>
    <row r="282" ht="15.75" customHeight="1" s="89"/>
    <row r="283" ht="15.75" customHeight="1" s="89"/>
    <row r="284" ht="15.75" customHeight="1" s="89"/>
    <row r="285" ht="15.75" customHeight="1" s="89"/>
    <row r="286" ht="15.75" customHeight="1" s="89"/>
    <row r="287" ht="15.75" customHeight="1" s="89"/>
    <row r="288" ht="15.75" customHeight="1" s="89"/>
    <row r="289" ht="15.75" customHeight="1" s="89"/>
    <row r="290" ht="15.75" customHeight="1" s="89"/>
    <row r="291" ht="15.75" customHeight="1" s="89"/>
    <row r="292" ht="15.75" customHeight="1" s="89"/>
    <row r="293" ht="15.75" customHeight="1" s="89"/>
    <row r="294" ht="15.75" customHeight="1" s="89"/>
    <row r="295" ht="15.75" customHeight="1" s="89"/>
    <row r="296" ht="15.75" customHeight="1" s="89"/>
    <row r="297" ht="15.75" customHeight="1" s="89"/>
    <row r="298" ht="15.75" customHeight="1" s="89"/>
    <row r="299" ht="15.75" customHeight="1" s="89"/>
    <row r="300" ht="15.75" customHeight="1" s="89"/>
    <row r="301" ht="15.75" customHeight="1" s="89"/>
    <row r="302" ht="15.75" customHeight="1" s="89"/>
    <row r="303" ht="15.75" customHeight="1" s="89"/>
    <row r="304" ht="15.75" customHeight="1" s="89"/>
    <row r="305" ht="15.75" customHeight="1" s="89"/>
    <row r="306" ht="15.75" customHeight="1" s="89"/>
    <row r="307" ht="15.75" customHeight="1" s="89"/>
    <row r="308" ht="15.75" customHeight="1" s="89"/>
    <row r="309" ht="15.75" customHeight="1" s="89"/>
    <row r="310" ht="15.75" customHeight="1" s="89"/>
    <row r="311" ht="15.75" customHeight="1" s="89"/>
    <row r="312" ht="15.75" customHeight="1" s="89"/>
    <row r="313" ht="15.75" customHeight="1" s="89"/>
    <row r="314" ht="15.75" customHeight="1" s="89"/>
    <row r="315" ht="15.75" customHeight="1" s="89"/>
    <row r="316" ht="15.75" customHeight="1" s="89"/>
    <row r="317" ht="15.75" customHeight="1" s="89"/>
    <row r="318" ht="15.75" customHeight="1" s="89"/>
    <row r="319" ht="15.75" customHeight="1" s="89"/>
    <row r="320" ht="15.75" customHeight="1" s="89"/>
    <row r="321" ht="15.75" customHeight="1" s="89"/>
    <row r="322" ht="15.75" customHeight="1" s="89"/>
    <row r="323" ht="15.75" customHeight="1" s="89"/>
    <row r="324" ht="15.75" customHeight="1" s="89"/>
    <row r="325" ht="15.75" customHeight="1" s="89"/>
    <row r="326" ht="15.75" customHeight="1" s="89"/>
    <row r="327" ht="15.75" customHeight="1" s="89"/>
    <row r="328" ht="15.75" customHeight="1" s="89"/>
    <row r="329" ht="15.75" customHeight="1" s="89"/>
    <row r="330" ht="15.75" customHeight="1" s="89"/>
    <row r="331" ht="15.75" customHeight="1" s="89"/>
    <row r="332" ht="15.75" customHeight="1" s="89"/>
    <row r="333" ht="15.75" customHeight="1" s="89"/>
    <row r="334" ht="15.75" customHeight="1" s="89"/>
    <row r="335" ht="15.75" customHeight="1" s="89"/>
    <row r="336" ht="15.75" customHeight="1" s="89"/>
    <row r="337" ht="15.75" customHeight="1" s="89"/>
    <row r="338" ht="15.75" customHeight="1" s="89"/>
    <row r="339" ht="15.75" customHeight="1" s="89"/>
    <row r="340" ht="15.75" customHeight="1" s="89"/>
    <row r="341" ht="15.75" customHeight="1" s="89"/>
    <row r="342" ht="15.75" customHeight="1" s="89"/>
    <row r="343" ht="15.75" customHeight="1" s="89"/>
    <row r="344" ht="15.75" customHeight="1" s="89"/>
    <row r="345" ht="15.75" customHeight="1" s="89"/>
    <row r="346" ht="15.75" customHeight="1" s="89"/>
    <row r="347" ht="15.75" customHeight="1" s="89"/>
    <row r="348" ht="15.75" customHeight="1" s="89"/>
    <row r="349" ht="15.75" customHeight="1" s="89"/>
    <row r="350" ht="15.75" customHeight="1" s="89"/>
    <row r="351" ht="15.75" customHeight="1" s="89"/>
    <row r="352" ht="15.75" customHeight="1" s="89"/>
    <row r="353" ht="15.75" customHeight="1" s="89"/>
    <row r="354" ht="15.75" customHeight="1" s="89"/>
    <row r="355" ht="15.75" customHeight="1" s="89"/>
    <row r="356" ht="15.75" customHeight="1" s="89"/>
    <row r="357" ht="15.75" customHeight="1" s="89"/>
    <row r="358" ht="15.75" customHeight="1" s="89"/>
    <row r="359" ht="15.75" customHeight="1" s="89"/>
    <row r="360" ht="15.75" customHeight="1" s="89"/>
    <row r="361" ht="15.75" customHeight="1" s="89"/>
    <row r="362" ht="15.75" customHeight="1" s="89"/>
    <row r="363" ht="15.75" customHeight="1" s="89"/>
    <row r="364" ht="15.75" customHeight="1" s="89"/>
    <row r="365" ht="15.75" customHeight="1" s="89"/>
    <row r="366" ht="15.75" customHeight="1" s="89"/>
    <row r="367" ht="15.75" customHeight="1" s="89"/>
    <row r="368" ht="15.75" customHeight="1" s="89"/>
    <row r="369" ht="15.75" customHeight="1" s="89"/>
    <row r="370" ht="15.75" customHeight="1" s="89"/>
    <row r="371" ht="15.75" customHeight="1" s="89"/>
    <row r="372" ht="15.75" customHeight="1" s="89"/>
    <row r="373" ht="15.75" customHeight="1" s="89"/>
    <row r="374" ht="15.75" customHeight="1" s="89"/>
    <row r="375" ht="15.75" customHeight="1" s="89"/>
    <row r="376" ht="15.75" customHeight="1" s="89"/>
    <row r="377" ht="15.75" customHeight="1" s="89"/>
    <row r="378" ht="15.75" customHeight="1" s="89"/>
    <row r="379" ht="15.75" customHeight="1" s="89"/>
    <row r="380" ht="15.75" customHeight="1" s="89"/>
    <row r="381" ht="15.75" customHeight="1" s="89"/>
    <row r="382" ht="15.75" customHeight="1" s="89"/>
    <row r="383" ht="15.75" customHeight="1" s="89"/>
    <row r="384" ht="15.75" customHeight="1" s="89"/>
    <row r="385" ht="15.75" customHeight="1" s="89"/>
    <row r="386" ht="15.75" customHeight="1" s="89"/>
    <row r="387" ht="15.75" customHeight="1" s="89"/>
    <row r="388" ht="15.75" customHeight="1" s="89"/>
    <row r="389" ht="15.75" customHeight="1" s="89"/>
    <row r="390" ht="15.75" customHeight="1" s="89"/>
    <row r="391" ht="15.75" customHeight="1" s="89"/>
    <row r="392" ht="15.75" customHeight="1" s="89"/>
    <row r="393" ht="15.75" customHeight="1" s="89"/>
    <row r="394" ht="15.75" customHeight="1" s="89"/>
    <row r="395" ht="15.75" customHeight="1" s="89"/>
    <row r="396" ht="15.75" customHeight="1" s="89"/>
    <row r="397" ht="15.75" customHeight="1" s="89"/>
    <row r="398" ht="15.75" customHeight="1" s="89"/>
    <row r="399" ht="15.75" customHeight="1" s="89"/>
    <row r="400" ht="15.75" customHeight="1" s="89"/>
    <row r="401" ht="15.75" customHeight="1" s="89"/>
    <row r="402" ht="15.75" customHeight="1" s="89"/>
    <row r="403" ht="15.75" customHeight="1" s="89"/>
    <row r="404" ht="15.75" customHeight="1" s="89"/>
    <row r="405" ht="15.75" customHeight="1" s="89"/>
    <row r="406" ht="15.75" customHeight="1" s="89"/>
    <row r="407" ht="15.75" customHeight="1" s="89"/>
    <row r="408" ht="15.75" customHeight="1" s="89"/>
    <row r="409" ht="15.75" customHeight="1" s="89"/>
    <row r="410" ht="15.75" customHeight="1" s="89"/>
    <row r="411" ht="15.75" customHeight="1" s="89"/>
    <row r="412" ht="15.75" customHeight="1" s="89"/>
    <row r="413" ht="15.75" customHeight="1" s="89"/>
    <row r="414" ht="15.75" customHeight="1" s="89"/>
    <row r="415" ht="15.75" customHeight="1" s="89"/>
    <row r="416" ht="15.75" customHeight="1" s="89"/>
    <row r="417" ht="15.75" customHeight="1" s="89"/>
    <row r="418" ht="15.75" customHeight="1" s="89"/>
    <row r="419" ht="15.75" customHeight="1" s="89"/>
    <row r="420" ht="15.75" customHeight="1" s="89"/>
    <row r="421" ht="15.75" customHeight="1" s="89"/>
    <row r="422" ht="15.75" customHeight="1" s="89"/>
    <row r="423" ht="15.75" customHeight="1" s="89"/>
    <row r="424" ht="15.75" customHeight="1" s="89"/>
    <row r="425" ht="15.75" customHeight="1" s="89"/>
    <row r="426" ht="15.75" customHeight="1" s="89"/>
    <row r="427" ht="15.75" customHeight="1" s="89"/>
    <row r="428" ht="15.75" customHeight="1" s="89"/>
    <row r="429" ht="15.75" customHeight="1" s="89"/>
    <row r="430" ht="15.75" customHeight="1" s="89"/>
    <row r="431" ht="15.75" customHeight="1" s="89"/>
    <row r="432" ht="15.75" customHeight="1" s="89"/>
    <row r="433" ht="15.75" customHeight="1" s="89"/>
    <row r="434" ht="15.75" customHeight="1" s="89"/>
    <row r="435" ht="15.75" customHeight="1" s="89"/>
    <row r="436" ht="15.75" customHeight="1" s="89"/>
    <row r="437" ht="15.75" customHeight="1" s="89"/>
    <row r="438" ht="15.75" customHeight="1" s="89"/>
    <row r="439" ht="15.75" customHeight="1" s="89"/>
    <row r="440" ht="15.75" customHeight="1" s="89"/>
    <row r="441" ht="15.75" customHeight="1" s="89"/>
    <row r="442" ht="15.75" customHeight="1" s="89"/>
    <row r="443" ht="15.75" customHeight="1" s="89"/>
    <row r="444" ht="15.75" customHeight="1" s="89"/>
    <row r="445" ht="15.75" customHeight="1" s="89"/>
    <row r="446" ht="15.75" customHeight="1" s="89"/>
    <row r="447" ht="15.75" customHeight="1" s="89"/>
    <row r="448" ht="15.75" customHeight="1" s="89"/>
    <row r="449" ht="15.75" customHeight="1" s="89"/>
    <row r="450" ht="15.75" customHeight="1" s="89"/>
    <row r="451" ht="15.75" customHeight="1" s="89"/>
    <row r="452" ht="15.75" customHeight="1" s="89"/>
    <row r="453" ht="15.75" customHeight="1" s="89"/>
    <row r="454" ht="15.75" customHeight="1" s="89"/>
    <row r="455" ht="15.75" customHeight="1" s="89"/>
    <row r="456" ht="15.75" customHeight="1" s="89"/>
    <row r="457" ht="15.75" customHeight="1" s="89"/>
    <row r="458" ht="15.75" customHeight="1" s="89"/>
    <row r="459" ht="15.75" customHeight="1" s="89"/>
    <row r="460" ht="15.75" customHeight="1" s="89"/>
    <row r="461" ht="15.75" customHeight="1" s="89"/>
    <row r="462" ht="15.75" customHeight="1" s="89"/>
    <row r="463" ht="15.75" customHeight="1" s="89"/>
    <row r="464" ht="15.75" customHeight="1" s="89"/>
    <row r="465" ht="15.75" customHeight="1" s="89"/>
    <row r="466" ht="15.75" customHeight="1" s="89"/>
    <row r="467" ht="15.75" customHeight="1" s="89"/>
    <row r="468" ht="15.75" customHeight="1" s="89"/>
    <row r="469" ht="15.75" customHeight="1" s="89"/>
    <row r="470" ht="15.75" customHeight="1" s="89"/>
    <row r="471" ht="15.75" customHeight="1" s="89"/>
    <row r="472" ht="15.75" customHeight="1" s="89"/>
    <row r="473" ht="15.75" customHeight="1" s="89"/>
    <row r="474" ht="15.75" customHeight="1" s="89"/>
    <row r="475" ht="15.75" customHeight="1" s="89"/>
    <row r="476" ht="15.75" customHeight="1" s="89"/>
    <row r="477" ht="15.75" customHeight="1" s="89"/>
    <row r="478" ht="15.75" customHeight="1" s="89"/>
    <row r="479" ht="15.75" customHeight="1" s="89"/>
    <row r="480" ht="15.75" customHeight="1" s="89"/>
    <row r="481" ht="15.75" customHeight="1" s="89"/>
    <row r="482" ht="15.75" customHeight="1" s="89"/>
    <row r="483" ht="15.75" customHeight="1" s="89"/>
    <row r="484" ht="15.75" customHeight="1" s="89"/>
    <row r="485" ht="15.75" customHeight="1" s="89"/>
    <row r="486" ht="15.75" customHeight="1" s="89"/>
    <row r="487" ht="15.75" customHeight="1" s="89"/>
    <row r="488" ht="15.75" customHeight="1" s="89"/>
    <row r="489" ht="15.75" customHeight="1" s="89"/>
    <row r="490" ht="15.75" customHeight="1" s="89"/>
    <row r="491" ht="15.75" customHeight="1" s="89"/>
    <row r="492" ht="15.75" customHeight="1" s="89"/>
    <row r="493" ht="15.75" customHeight="1" s="89"/>
    <row r="494" ht="15.75" customHeight="1" s="89"/>
    <row r="495" ht="15.75" customHeight="1" s="89"/>
    <row r="496" ht="15.75" customHeight="1" s="89"/>
    <row r="497" ht="15.75" customHeight="1" s="89"/>
    <row r="498" ht="15.75" customHeight="1" s="89"/>
    <row r="499" ht="15.75" customHeight="1" s="89"/>
    <row r="500" ht="15.75" customHeight="1" s="89"/>
    <row r="501" ht="15.75" customHeight="1" s="89"/>
    <row r="502" ht="15.75" customHeight="1" s="89"/>
    <row r="503" ht="15.75" customHeight="1" s="89"/>
    <row r="504" ht="15.75" customHeight="1" s="89"/>
    <row r="505" ht="15.75" customHeight="1" s="89"/>
    <row r="506" ht="15.75" customHeight="1" s="89"/>
    <row r="507" ht="15.75" customHeight="1" s="89"/>
    <row r="508" ht="15.75" customHeight="1" s="89"/>
    <row r="509" ht="15.75" customHeight="1" s="89"/>
    <row r="510" ht="15.75" customHeight="1" s="89"/>
    <row r="511" ht="15.75" customHeight="1" s="89"/>
    <row r="512" ht="15.75" customHeight="1" s="89"/>
    <row r="513" ht="15.75" customHeight="1" s="89"/>
    <row r="514" ht="15.75" customHeight="1" s="89"/>
    <row r="515" ht="15.75" customHeight="1" s="89"/>
    <row r="516" ht="15.75" customHeight="1" s="89"/>
    <row r="517" ht="15.75" customHeight="1" s="89"/>
    <row r="518" ht="15.75" customHeight="1" s="89"/>
    <row r="519" ht="15.75" customHeight="1" s="89"/>
    <row r="520" ht="15.75" customHeight="1" s="89"/>
    <row r="521" ht="15.75" customHeight="1" s="89"/>
    <row r="522" ht="15.75" customHeight="1" s="89"/>
    <row r="523" ht="15.75" customHeight="1" s="89"/>
    <row r="524" ht="15.75" customHeight="1" s="89"/>
    <row r="525" ht="15.75" customHeight="1" s="89"/>
    <row r="526" ht="15.75" customHeight="1" s="89"/>
    <row r="527" ht="15.75" customHeight="1" s="89"/>
    <row r="528" ht="15.75" customHeight="1" s="89"/>
    <row r="529" ht="15.75" customHeight="1" s="89"/>
    <row r="530" ht="15.75" customHeight="1" s="89"/>
    <row r="531" ht="15.75" customHeight="1" s="89"/>
    <row r="532" ht="15.75" customHeight="1" s="89"/>
    <row r="533" ht="15.75" customHeight="1" s="89"/>
    <row r="534" ht="15.75" customHeight="1" s="89"/>
    <row r="535" ht="15.75" customHeight="1" s="89"/>
    <row r="536" ht="15.75" customHeight="1" s="89"/>
    <row r="537" ht="15.75" customHeight="1" s="89"/>
    <row r="538" ht="15.75" customHeight="1" s="89"/>
    <row r="539" ht="15.75" customHeight="1" s="89"/>
    <row r="540" ht="15.75" customHeight="1" s="89"/>
    <row r="541" ht="15.75" customHeight="1" s="89"/>
    <row r="542" ht="15.75" customHeight="1" s="89"/>
    <row r="543" ht="15.75" customHeight="1" s="89"/>
    <row r="544" ht="15.75" customHeight="1" s="89"/>
    <row r="545" ht="15.75" customHeight="1" s="89"/>
    <row r="546" ht="15.75" customHeight="1" s="89"/>
    <row r="547" ht="15.75" customHeight="1" s="89"/>
    <row r="548" ht="15.75" customHeight="1" s="89"/>
    <row r="549" ht="15.75" customHeight="1" s="89"/>
    <row r="550" ht="15.75" customHeight="1" s="89"/>
    <row r="551" ht="15.75" customHeight="1" s="89"/>
    <row r="552" ht="15.75" customHeight="1" s="89"/>
    <row r="553" ht="15.75" customHeight="1" s="89"/>
    <row r="554" ht="15.75" customHeight="1" s="89"/>
    <row r="555" ht="15.75" customHeight="1" s="89"/>
    <row r="556" ht="15.75" customHeight="1" s="89"/>
    <row r="557" ht="15.75" customHeight="1" s="89"/>
    <row r="558" ht="15.75" customHeight="1" s="89"/>
    <row r="559" ht="15.75" customHeight="1" s="89"/>
    <row r="560" ht="15.75" customHeight="1" s="89"/>
    <row r="561" ht="15.75" customHeight="1" s="89"/>
    <row r="562" ht="15.75" customHeight="1" s="89"/>
    <row r="563" ht="15.75" customHeight="1" s="89"/>
    <row r="564" ht="15.75" customHeight="1" s="89"/>
    <row r="565" ht="15.75" customHeight="1" s="89"/>
    <row r="566" ht="15.75" customHeight="1" s="89"/>
    <row r="567" ht="15.75" customHeight="1" s="89"/>
    <row r="568" ht="15.75" customHeight="1" s="89"/>
    <row r="569" ht="15.75" customHeight="1" s="89"/>
    <row r="570" ht="15.75" customHeight="1" s="89"/>
    <row r="571" ht="15.75" customHeight="1" s="89"/>
    <row r="572" ht="15.75" customHeight="1" s="89"/>
    <row r="573" ht="15.75" customHeight="1" s="89"/>
    <row r="574" ht="15.75" customHeight="1" s="89"/>
    <row r="575" ht="15.75" customHeight="1" s="89"/>
    <row r="576" ht="15.75" customHeight="1" s="89"/>
    <row r="577" ht="15.75" customHeight="1" s="89"/>
    <row r="578" ht="15.75" customHeight="1" s="89"/>
    <row r="579" ht="15.75" customHeight="1" s="89"/>
    <row r="580" ht="15.75" customHeight="1" s="89"/>
    <row r="581" ht="15.75" customHeight="1" s="89"/>
    <row r="582" ht="15.75" customHeight="1" s="89"/>
    <row r="583" ht="15.75" customHeight="1" s="89"/>
    <row r="584" ht="15.75" customHeight="1" s="89"/>
    <row r="585" ht="15.75" customHeight="1" s="89"/>
    <row r="586" ht="15.75" customHeight="1" s="89"/>
    <row r="587" ht="15.75" customHeight="1" s="89"/>
    <row r="588" ht="15.75" customHeight="1" s="89"/>
    <row r="589" ht="15.75" customHeight="1" s="89"/>
    <row r="590" ht="15.75" customHeight="1" s="89"/>
    <row r="591" ht="15.75" customHeight="1" s="89"/>
    <row r="592" ht="15.75" customHeight="1" s="89"/>
    <row r="593" ht="15.75" customHeight="1" s="89"/>
    <row r="594" ht="15.75" customHeight="1" s="89"/>
    <row r="595" ht="15.75" customHeight="1" s="89"/>
    <row r="596" ht="15.75" customHeight="1" s="89"/>
    <row r="597" ht="15.75" customHeight="1" s="89"/>
    <row r="598" ht="15.75" customHeight="1" s="89"/>
    <row r="599" ht="15.75" customHeight="1" s="89"/>
    <row r="600" ht="15.75" customHeight="1" s="89"/>
    <row r="601" ht="15.75" customHeight="1" s="89"/>
    <row r="602" ht="15.75" customHeight="1" s="89"/>
    <row r="603" ht="15.75" customHeight="1" s="89"/>
    <row r="604" ht="15.75" customHeight="1" s="89"/>
    <row r="605" ht="15.75" customHeight="1" s="89"/>
    <row r="606" ht="15.75" customHeight="1" s="89"/>
    <row r="607" ht="15.75" customHeight="1" s="89"/>
    <row r="608" ht="15.75" customHeight="1" s="89"/>
    <row r="609" ht="15.75" customHeight="1" s="89"/>
    <row r="610" ht="15.75" customHeight="1" s="89"/>
    <row r="611" ht="15.75" customHeight="1" s="89"/>
    <row r="612" ht="15.75" customHeight="1" s="89"/>
    <row r="613" ht="15.75" customHeight="1" s="89"/>
    <row r="614" ht="15.75" customHeight="1" s="89"/>
    <row r="615" ht="15.75" customHeight="1" s="89"/>
    <row r="616" ht="15.75" customHeight="1" s="89"/>
    <row r="617" ht="15.75" customHeight="1" s="89"/>
    <row r="618" ht="15.75" customHeight="1" s="89"/>
    <row r="619" ht="15.75" customHeight="1" s="89"/>
    <row r="620" ht="15.75" customHeight="1" s="89"/>
    <row r="621" ht="15.75" customHeight="1" s="89"/>
    <row r="622" ht="15.75" customHeight="1" s="89"/>
    <row r="623" ht="15.75" customHeight="1" s="89"/>
    <row r="624" ht="15.75" customHeight="1" s="89"/>
    <row r="625" ht="15.75" customHeight="1" s="89"/>
    <row r="626" ht="15.75" customHeight="1" s="89"/>
    <row r="627" ht="15.75" customHeight="1" s="89"/>
    <row r="628" ht="15.75" customHeight="1" s="89"/>
    <row r="629" ht="15.75" customHeight="1" s="89"/>
    <row r="630" ht="15.75" customHeight="1" s="89"/>
    <row r="631" ht="15.75" customHeight="1" s="89"/>
    <row r="632" ht="15.75" customHeight="1" s="89"/>
    <row r="633" ht="15.75" customHeight="1" s="89"/>
    <row r="634" ht="15.75" customHeight="1" s="89"/>
    <row r="635" ht="15.75" customHeight="1" s="89"/>
    <row r="636" ht="15.75" customHeight="1" s="89"/>
    <row r="637" ht="15.75" customHeight="1" s="89"/>
    <row r="638" ht="15.75" customHeight="1" s="89"/>
    <row r="639" ht="15.75" customHeight="1" s="89"/>
    <row r="640" ht="15.75" customHeight="1" s="89"/>
    <row r="641" ht="15.75" customHeight="1" s="89"/>
    <row r="642" ht="15.75" customHeight="1" s="89"/>
    <row r="643" ht="15.75" customHeight="1" s="89"/>
    <row r="644" ht="15.75" customHeight="1" s="89"/>
    <row r="645" ht="15.75" customHeight="1" s="89"/>
    <row r="646" ht="15.75" customHeight="1" s="89"/>
    <row r="647" ht="15.75" customHeight="1" s="89"/>
    <row r="648" ht="15.75" customHeight="1" s="89"/>
    <row r="649" ht="15.75" customHeight="1" s="89"/>
    <row r="650" ht="15.75" customHeight="1" s="89"/>
    <row r="651" ht="15.75" customHeight="1" s="89"/>
    <row r="652" ht="15.75" customHeight="1" s="89"/>
    <row r="653" ht="15.75" customHeight="1" s="89"/>
    <row r="654" ht="15.75" customHeight="1" s="89"/>
    <row r="655" ht="15.75" customHeight="1" s="89"/>
    <row r="656" ht="15.75" customHeight="1" s="89"/>
    <row r="657" ht="15.75" customHeight="1" s="89"/>
    <row r="658" ht="15.75" customHeight="1" s="89"/>
    <row r="659" ht="15.75" customHeight="1" s="89"/>
    <row r="660" ht="15.75" customHeight="1" s="89"/>
    <row r="661" ht="15.75" customHeight="1" s="89"/>
    <row r="662" ht="15.75" customHeight="1" s="89"/>
    <row r="663" ht="15.75" customHeight="1" s="89"/>
    <row r="664" ht="15.75" customHeight="1" s="89"/>
    <row r="665" ht="15.75" customHeight="1" s="89"/>
    <row r="666" ht="15.75" customHeight="1" s="89"/>
    <row r="667" ht="15.75" customHeight="1" s="89"/>
    <row r="668" ht="15.75" customHeight="1" s="89"/>
    <row r="669" ht="15.75" customHeight="1" s="89"/>
    <row r="670" ht="15.75" customHeight="1" s="89"/>
    <row r="671" ht="15.75" customHeight="1" s="89"/>
    <row r="672" ht="15.75" customHeight="1" s="89"/>
    <row r="673" ht="15.75" customHeight="1" s="89"/>
    <row r="674" ht="15.75" customHeight="1" s="89"/>
    <row r="675" ht="15.75" customHeight="1" s="89"/>
    <row r="676" ht="15.75" customHeight="1" s="89"/>
    <row r="677" ht="15.75" customHeight="1" s="89"/>
    <row r="678" ht="15.75" customHeight="1" s="89"/>
    <row r="679" ht="15.75" customHeight="1" s="89"/>
    <row r="680" ht="15.75" customHeight="1" s="89"/>
    <row r="681" ht="15.75" customHeight="1" s="89"/>
    <row r="682" ht="15.75" customHeight="1" s="89"/>
    <row r="683" ht="15.75" customHeight="1" s="89"/>
    <row r="684" ht="15.75" customHeight="1" s="89"/>
    <row r="685" ht="15.75" customHeight="1" s="89"/>
    <row r="686" ht="15.75" customHeight="1" s="89"/>
    <row r="687" ht="15.75" customHeight="1" s="89"/>
    <row r="688" ht="15.75" customHeight="1" s="89"/>
    <row r="689" ht="15.75" customHeight="1" s="89"/>
    <row r="690" ht="15.75" customHeight="1" s="89"/>
    <row r="691" ht="15.75" customHeight="1" s="89"/>
    <row r="692" ht="15.75" customHeight="1" s="89"/>
    <row r="693" ht="15.75" customHeight="1" s="89"/>
    <row r="694" ht="15.75" customHeight="1" s="89"/>
    <row r="695" ht="15.75" customHeight="1" s="89"/>
    <row r="696" ht="15.75" customHeight="1" s="89"/>
    <row r="697" ht="15.75" customHeight="1" s="89"/>
    <row r="698" ht="15.75" customHeight="1" s="89"/>
    <row r="699" ht="15.75" customHeight="1" s="89"/>
    <row r="700" ht="15.75" customHeight="1" s="89"/>
    <row r="701" ht="15.75" customHeight="1" s="89"/>
    <row r="702" ht="15.75" customHeight="1" s="89"/>
    <row r="703" ht="15.75" customHeight="1" s="89"/>
    <row r="704" ht="15.75" customHeight="1" s="89"/>
    <row r="705" ht="15.75" customHeight="1" s="89"/>
    <row r="706" ht="15.75" customHeight="1" s="89"/>
    <row r="707" ht="15.75" customHeight="1" s="89"/>
    <row r="708" ht="15.75" customHeight="1" s="89"/>
    <row r="709" ht="15.75" customHeight="1" s="89"/>
    <row r="710" ht="15.75" customHeight="1" s="89"/>
    <row r="711" ht="15.75" customHeight="1" s="89"/>
    <row r="712" ht="15.75" customHeight="1" s="89"/>
    <row r="713" ht="15.75" customHeight="1" s="89"/>
    <row r="714" ht="15.75" customHeight="1" s="89"/>
    <row r="715" ht="15.75" customHeight="1" s="89"/>
    <row r="716" ht="15.75" customHeight="1" s="89"/>
    <row r="717" ht="15.75" customHeight="1" s="89"/>
    <row r="718" ht="15.75" customHeight="1" s="89"/>
    <row r="719" ht="15.75" customHeight="1" s="89"/>
    <row r="720" ht="15.75" customHeight="1" s="89"/>
    <row r="721" ht="15.75" customHeight="1" s="89"/>
    <row r="722" ht="15.75" customHeight="1" s="89"/>
    <row r="723" ht="15.75" customHeight="1" s="89"/>
    <row r="724" ht="15.75" customHeight="1" s="89"/>
    <row r="725" ht="15.75" customHeight="1" s="89"/>
    <row r="726" ht="15.75" customHeight="1" s="89"/>
    <row r="727" ht="15.75" customHeight="1" s="89"/>
    <row r="728" ht="15.75" customHeight="1" s="89"/>
    <row r="729" ht="15.75" customHeight="1" s="89"/>
    <row r="730" ht="15.75" customHeight="1" s="89"/>
    <row r="731" ht="15.75" customHeight="1" s="89"/>
    <row r="732" ht="15.75" customHeight="1" s="89"/>
    <row r="733" ht="15.75" customHeight="1" s="89"/>
    <row r="734" ht="15.75" customHeight="1" s="89"/>
    <row r="735" ht="15.75" customHeight="1" s="89"/>
    <row r="736" ht="15.75" customHeight="1" s="89"/>
    <row r="737" ht="15.75" customHeight="1" s="89"/>
    <row r="738" ht="15.75" customHeight="1" s="89"/>
    <row r="739" ht="15.75" customHeight="1" s="89"/>
    <row r="740" ht="15.75" customHeight="1" s="89"/>
    <row r="741" ht="15.75" customHeight="1" s="89"/>
    <row r="742" ht="15.75" customHeight="1" s="89"/>
    <row r="743" ht="15.75" customHeight="1" s="89"/>
    <row r="744" ht="15.75" customHeight="1" s="89"/>
    <row r="745" ht="15.75" customHeight="1" s="89"/>
    <row r="746" ht="15.75" customHeight="1" s="89"/>
    <row r="747" ht="15.75" customHeight="1" s="89"/>
    <row r="748" ht="15.75" customHeight="1" s="89"/>
    <row r="749" ht="15.75" customHeight="1" s="89"/>
    <row r="750" ht="15.75" customHeight="1" s="89"/>
    <row r="751" ht="15.75" customHeight="1" s="89"/>
    <row r="752" ht="15.75" customHeight="1" s="89"/>
    <row r="753" ht="15.75" customHeight="1" s="89"/>
    <row r="754" ht="15.75" customHeight="1" s="89"/>
    <row r="755" ht="15.75" customHeight="1" s="89"/>
    <row r="756" ht="15.75" customHeight="1" s="89"/>
    <row r="757" ht="15.75" customHeight="1" s="89"/>
    <row r="758" ht="15.75" customHeight="1" s="89"/>
    <row r="759" ht="15.75" customHeight="1" s="89"/>
    <row r="760" ht="15.75" customHeight="1" s="89"/>
    <row r="761" ht="15.75" customHeight="1" s="89"/>
    <row r="762" ht="15.75" customHeight="1" s="89"/>
    <row r="763" ht="15.75" customHeight="1" s="89"/>
    <row r="764" ht="15.75" customHeight="1" s="89"/>
    <row r="765" ht="15.75" customHeight="1" s="89"/>
    <row r="766" ht="15.75" customHeight="1" s="89"/>
    <row r="767" ht="15.75" customHeight="1" s="89"/>
    <row r="768" ht="15.75" customHeight="1" s="89"/>
    <row r="769" ht="15.75" customHeight="1" s="89"/>
    <row r="770" ht="15.75" customHeight="1" s="89"/>
    <row r="771" ht="15.75" customHeight="1" s="89"/>
    <row r="772" ht="15.75" customHeight="1" s="89"/>
    <row r="773" ht="15.75" customHeight="1" s="89"/>
    <row r="774" ht="15.75" customHeight="1" s="89"/>
    <row r="775" ht="15.75" customHeight="1" s="89"/>
    <row r="776" ht="15.75" customHeight="1" s="89"/>
    <row r="777" ht="15.75" customHeight="1" s="89"/>
    <row r="778" ht="15.75" customHeight="1" s="89"/>
    <row r="779" ht="15.75" customHeight="1" s="89"/>
    <row r="780" ht="15.75" customHeight="1" s="89"/>
    <row r="781" ht="15.75" customHeight="1" s="89"/>
    <row r="782" ht="15.75" customHeight="1" s="89"/>
    <row r="783" ht="15.75" customHeight="1" s="89"/>
    <row r="784" ht="15.75" customHeight="1" s="89"/>
    <row r="785" ht="15.75" customHeight="1" s="89"/>
    <row r="786" ht="15.75" customHeight="1" s="89"/>
    <row r="787" ht="15.75" customHeight="1" s="89"/>
    <row r="788" ht="15.75" customHeight="1" s="89"/>
    <row r="789" ht="15.75" customHeight="1" s="89"/>
    <row r="790" ht="15.75" customHeight="1" s="89"/>
    <row r="791" ht="15.75" customHeight="1" s="89"/>
    <row r="792" ht="15.75" customHeight="1" s="89"/>
    <row r="793" ht="15.75" customHeight="1" s="89"/>
    <row r="794" ht="15.75" customHeight="1" s="89"/>
    <row r="795" ht="15.75" customHeight="1" s="89"/>
    <row r="796" ht="15.75" customHeight="1" s="89"/>
    <row r="797" ht="15.75" customHeight="1" s="89"/>
    <row r="798" ht="15.75" customHeight="1" s="89"/>
    <row r="799" ht="15.75" customHeight="1" s="89"/>
    <row r="800" ht="15.75" customHeight="1" s="89"/>
    <row r="801" ht="15.75" customHeight="1" s="89"/>
    <row r="802" ht="15.75" customHeight="1" s="89"/>
    <row r="803" ht="15.75" customHeight="1" s="89"/>
    <row r="804" ht="15.75" customHeight="1" s="89"/>
    <row r="805" ht="15.75" customHeight="1" s="89"/>
    <row r="806" ht="15.75" customHeight="1" s="89"/>
    <row r="807" ht="15.75" customHeight="1" s="89"/>
    <row r="808" ht="15.75" customHeight="1" s="89"/>
    <row r="809" ht="15.75" customHeight="1" s="89"/>
    <row r="810" ht="15.75" customHeight="1" s="89"/>
    <row r="811" ht="15.75" customHeight="1" s="89"/>
    <row r="812" ht="15.75" customHeight="1" s="89"/>
    <row r="813" ht="15.75" customHeight="1" s="89"/>
    <row r="814" ht="15.75" customHeight="1" s="89"/>
    <row r="815" ht="15.75" customHeight="1" s="89"/>
    <row r="816" ht="15.75" customHeight="1" s="89"/>
    <row r="817" ht="15.75" customHeight="1" s="89"/>
    <row r="818" ht="15.75" customHeight="1" s="89"/>
    <row r="819" ht="15.75" customHeight="1" s="89"/>
    <row r="820" ht="15.75" customHeight="1" s="89"/>
    <row r="821" ht="15.75" customHeight="1" s="89"/>
    <row r="822" ht="15.75" customHeight="1" s="89"/>
    <row r="823" ht="15.75" customHeight="1" s="89"/>
    <row r="824" ht="15.75" customHeight="1" s="89"/>
    <row r="825" ht="15.75" customHeight="1" s="89"/>
    <row r="826" ht="15.75" customHeight="1" s="89"/>
    <row r="827" ht="15.75" customHeight="1" s="89"/>
    <row r="828" ht="15.75" customHeight="1" s="89"/>
    <row r="829" ht="15.75" customHeight="1" s="89"/>
    <row r="830" ht="15.75" customHeight="1" s="89"/>
    <row r="831" ht="15.75" customHeight="1" s="89"/>
    <row r="832" ht="15.75" customHeight="1" s="89"/>
    <row r="833" ht="15.75" customHeight="1" s="89"/>
    <row r="834" ht="15.75" customHeight="1" s="89"/>
    <row r="835" ht="15.75" customHeight="1" s="89"/>
    <row r="836" ht="15.75" customHeight="1" s="89"/>
    <row r="837" ht="15.75" customHeight="1" s="89"/>
    <row r="838" ht="15.75" customHeight="1" s="89"/>
    <row r="839" ht="15.75" customHeight="1" s="89"/>
    <row r="840" ht="15.75" customHeight="1" s="89"/>
    <row r="841" ht="15.75" customHeight="1" s="89"/>
    <row r="842" ht="15.75" customHeight="1" s="89"/>
    <row r="843" ht="15.75" customHeight="1" s="89"/>
    <row r="844" ht="15.75" customHeight="1" s="89"/>
    <row r="845" ht="15.75" customHeight="1" s="89"/>
    <row r="846" ht="15.75" customHeight="1" s="89"/>
    <row r="847" ht="15.75" customHeight="1" s="89"/>
    <row r="848" ht="15.75" customHeight="1" s="89"/>
    <row r="849" ht="15.75" customHeight="1" s="89"/>
    <row r="850" ht="15.75" customHeight="1" s="89"/>
    <row r="851" ht="15.75" customHeight="1" s="89"/>
    <row r="852" ht="15.75" customHeight="1" s="89"/>
    <row r="853" ht="15.75" customHeight="1" s="89"/>
    <row r="854" ht="15.75" customHeight="1" s="89"/>
    <row r="855" ht="15.75" customHeight="1" s="89"/>
    <row r="856" ht="15.75" customHeight="1" s="89"/>
    <row r="857" ht="15.75" customHeight="1" s="89"/>
    <row r="858" ht="15.75" customHeight="1" s="89"/>
    <row r="859" ht="15.75" customHeight="1" s="89"/>
    <row r="860" ht="15.75" customHeight="1" s="89"/>
    <row r="861" ht="15.75" customHeight="1" s="89"/>
    <row r="862" ht="15.75" customHeight="1" s="89"/>
    <row r="863" ht="15.75" customHeight="1" s="89"/>
    <row r="864" ht="15.75" customHeight="1" s="89"/>
    <row r="865" ht="15.75" customHeight="1" s="89"/>
    <row r="866" ht="15.75" customHeight="1" s="89"/>
    <row r="867" ht="15.75" customHeight="1" s="89"/>
    <row r="868" ht="15.75" customHeight="1" s="89"/>
    <row r="869" ht="15.75" customHeight="1" s="89"/>
    <row r="870" ht="15.75" customHeight="1" s="89"/>
    <row r="871" ht="15.75" customHeight="1" s="89"/>
    <row r="872" ht="15.75" customHeight="1" s="89"/>
    <row r="873" ht="15.75" customHeight="1" s="89"/>
    <row r="874" ht="15.75" customHeight="1" s="89"/>
    <row r="875" ht="15.75" customHeight="1" s="89"/>
    <row r="876" ht="15.75" customHeight="1" s="89"/>
    <row r="877" ht="15.75" customHeight="1" s="89"/>
    <row r="878" ht="15.75" customHeight="1" s="89"/>
    <row r="879" ht="15.75" customHeight="1" s="89"/>
    <row r="880" ht="15.75" customHeight="1" s="89"/>
    <row r="881" ht="15.75" customHeight="1" s="89"/>
    <row r="882" ht="15.75" customHeight="1" s="89"/>
    <row r="883" ht="15.75" customHeight="1" s="89"/>
    <row r="884" ht="15.75" customHeight="1" s="89"/>
    <row r="885" ht="15.75" customHeight="1" s="89"/>
    <row r="886" ht="15.75" customHeight="1" s="89"/>
    <row r="887" ht="15.75" customHeight="1" s="89"/>
    <row r="888" ht="15.75" customHeight="1" s="89"/>
    <row r="889" ht="15.75" customHeight="1" s="89"/>
    <row r="890" ht="15.75" customHeight="1" s="89"/>
    <row r="891" ht="15.75" customHeight="1" s="89"/>
    <row r="892" ht="15.75" customHeight="1" s="89"/>
    <row r="893" ht="15.75" customHeight="1" s="89"/>
    <row r="894" ht="15.75" customHeight="1" s="89"/>
    <row r="895" ht="15.75" customHeight="1" s="89"/>
    <row r="896" ht="15.75" customHeight="1" s="89"/>
    <row r="897" ht="15.75" customHeight="1" s="89"/>
    <row r="898" ht="15.75" customHeight="1" s="89"/>
    <row r="899" ht="15.75" customHeight="1" s="89"/>
    <row r="900" ht="15.75" customHeight="1" s="89"/>
    <row r="901" ht="15.75" customHeight="1" s="89"/>
    <row r="902" ht="15.75" customHeight="1" s="89"/>
    <row r="903" ht="15.75" customHeight="1" s="89"/>
    <row r="904" ht="15.75" customHeight="1" s="89"/>
    <row r="905" ht="15.75" customHeight="1" s="89"/>
    <row r="906" ht="15.75" customHeight="1" s="89"/>
    <row r="907" ht="15.75" customHeight="1" s="89"/>
    <row r="908" ht="15.75" customHeight="1" s="89"/>
    <row r="909" ht="15.75" customHeight="1" s="89"/>
    <row r="910" ht="15.75" customHeight="1" s="89"/>
    <row r="911" ht="15.75" customHeight="1" s="89"/>
    <row r="912" ht="15.75" customHeight="1" s="89"/>
    <row r="913" ht="15.75" customHeight="1" s="89"/>
    <row r="914" ht="15.75" customHeight="1" s="89"/>
    <row r="915" ht="15.75" customHeight="1" s="89"/>
    <row r="916" ht="15.75" customHeight="1" s="89"/>
    <row r="917" ht="15.75" customHeight="1" s="89"/>
    <row r="918" ht="15.75" customHeight="1" s="89"/>
    <row r="919" ht="15.75" customHeight="1" s="89"/>
    <row r="920" ht="15.75" customHeight="1" s="89"/>
    <row r="921" ht="15.75" customHeight="1" s="89"/>
    <row r="922" ht="15.75" customHeight="1" s="89"/>
    <row r="923" ht="15.75" customHeight="1" s="89"/>
    <row r="924" ht="15.75" customHeight="1" s="89"/>
    <row r="925" ht="15.75" customHeight="1" s="89"/>
    <row r="926" ht="15.75" customHeight="1" s="89"/>
    <row r="927" ht="15.75" customHeight="1" s="89"/>
    <row r="928" ht="15.75" customHeight="1" s="89"/>
    <row r="929" ht="15.75" customHeight="1" s="89"/>
    <row r="930" ht="15.75" customHeight="1" s="89"/>
    <row r="931" ht="15.75" customHeight="1" s="89"/>
    <row r="932" ht="15.75" customHeight="1" s="89"/>
    <row r="933" ht="15.75" customHeight="1" s="89"/>
    <row r="934" ht="15.75" customHeight="1" s="89"/>
    <row r="935" ht="15.75" customHeight="1" s="89"/>
    <row r="936" ht="15.75" customHeight="1" s="89"/>
    <row r="937" ht="15.75" customHeight="1" s="89"/>
    <row r="938" ht="15.75" customHeight="1" s="89"/>
    <row r="939" ht="15.75" customHeight="1" s="89"/>
    <row r="940" ht="15.75" customHeight="1" s="89"/>
    <row r="941" ht="15.75" customHeight="1" s="89"/>
    <row r="942" ht="15.75" customHeight="1" s="89"/>
    <row r="943" ht="15.75" customHeight="1" s="89"/>
    <row r="944" ht="15.75" customHeight="1" s="89"/>
    <row r="945" ht="15.75" customHeight="1" s="89"/>
    <row r="946" ht="15.75" customHeight="1" s="89"/>
    <row r="947" ht="15.75" customHeight="1" s="89"/>
    <row r="948" ht="15.75" customHeight="1" s="89"/>
    <row r="949" ht="15.75" customHeight="1" s="89"/>
    <row r="950" ht="15.75" customHeight="1" s="89"/>
    <row r="951" ht="15.75" customHeight="1" s="89"/>
    <row r="952" ht="15.75" customHeight="1" s="89"/>
    <row r="953" ht="15.75" customHeight="1" s="89"/>
    <row r="954" ht="15.75" customHeight="1" s="89"/>
    <row r="955" ht="15.75" customHeight="1" s="89"/>
    <row r="956" ht="15.75" customHeight="1" s="89"/>
    <row r="957" ht="15.75" customHeight="1" s="89"/>
    <row r="958" ht="15.75" customHeight="1" s="89"/>
    <row r="959" ht="15.75" customHeight="1" s="89"/>
    <row r="960" ht="15.75" customHeight="1" s="89"/>
    <row r="961" ht="15.75" customHeight="1" s="89"/>
    <row r="962" ht="15.75" customHeight="1" s="89"/>
    <row r="963" ht="15.75" customHeight="1" s="89"/>
    <row r="964" ht="15.75" customHeight="1" s="89"/>
    <row r="965" ht="15.75" customHeight="1" s="89"/>
    <row r="966" ht="15.75" customHeight="1" s="89"/>
    <row r="967" ht="15.75" customHeight="1" s="89"/>
    <row r="968" ht="15.75" customHeight="1" s="89"/>
    <row r="969" ht="15.75" customHeight="1" s="89"/>
    <row r="970" ht="15.75" customHeight="1" s="89"/>
    <row r="971" ht="15.75" customHeight="1" s="89"/>
    <row r="972" ht="15.75" customHeight="1" s="89"/>
    <row r="973" ht="15.75" customHeight="1" s="89"/>
    <row r="974" ht="15.75" customHeight="1" s="89"/>
    <row r="975" ht="15.75" customHeight="1" s="89"/>
    <row r="976" ht="15.75" customHeight="1" s="89"/>
    <row r="977" ht="15.75" customHeight="1" s="89"/>
    <row r="978" ht="15.75" customHeight="1" s="89"/>
    <row r="979" ht="15.75" customHeight="1" s="89"/>
    <row r="980" ht="15.75" customHeight="1" s="89"/>
    <row r="981" ht="15.75" customHeight="1" s="89"/>
    <row r="982" ht="15.75" customHeight="1" s="89"/>
    <row r="983" ht="15.75" customHeight="1" s="89"/>
    <row r="984" ht="15.75" customHeight="1" s="89"/>
    <row r="985" ht="15.75" customHeight="1" s="89"/>
    <row r="986" ht="15.75" customHeight="1" s="89"/>
    <row r="987" ht="15.75" customHeight="1" s="89"/>
    <row r="988" ht="15.75" customHeight="1" s="89"/>
    <row r="989" ht="15.75" customHeight="1" s="89"/>
    <row r="990" ht="15.75" customHeight="1" s="89"/>
    <row r="991" ht="15.75" customHeight="1" s="89"/>
    <row r="992" ht="15.75" customHeight="1" s="89"/>
    <row r="993" ht="15.75" customHeight="1" s="89"/>
    <row r="994" ht="15.75" customHeight="1" s="89"/>
    <row r="995" ht="15.75" customHeight="1" s="89"/>
    <row r="996" ht="15.75" customHeight="1" s="89"/>
    <row r="997" ht="15.75" customHeight="1" s="89"/>
    <row r="998" ht="15.75" customHeight="1" s="89"/>
    <row r="999" ht="15.75" customHeight="1" s="89"/>
    <row r="1000" ht="15.75" customHeight="1" s="89"/>
  </sheetData>
  <mergeCells count="3">
    <mergeCell ref="A18:J18"/>
    <mergeCell ref="A3:J3"/>
    <mergeCell ref="A2:J2"/>
  </mergeCells>
  <conditionalFormatting sqref="L25:L51">
    <cfRule type="containsText" priority="1" operator="containsText" dxfId="0" stopIfTrue="1" text="Bị chặn">
      <formula>NOT(ISERROR(SEARCH(("Bị chặn"),(L25))))</formula>
    </cfRule>
    <cfRule type="containsText" priority="2" operator="containsText" dxfId="1" stopIfTrue="1" text="Hoàn thành">
      <formula>NOT(ISERROR(SEARCH(("Hoàn thành"),(L25))))</formula>
    </cfRule>
    <cfRule type="containsText" priority="3" operator="containsText" dxfId="2" stopIfTrue="1" text="Review/Verify">
      <formula>NOT(ISERROR(SEARCH(("Review/Verify"),(L25))))</formula>
    </cfRule>
    <cfRule type="containsText" priority="4" operator="containsText" dxfId="3" stopIfTrue="1" text="Đang thực hiện">
      <formula>NOT(ISERROR(SEARCH(("Đang thực hiện"),(L25))))</formula>
    </cfRule>
    <cfRule type="containsText" priority="5" operator="containsText" dxfId="4" stopIfTrue="1" text="Chưa bắt đầu">
      <formula>NOT(ISERROR(SEARCH(("Chưa bắt đầu"),(L25))))</formula>
    </cfRule>
  </conditionalFormatting>
  <conditionalFormatting sqref="H8:H16">
    <cfRule type="containsText" priority="6" operator="containsText" dxfId="5" text="Chưa bắt đầu">
      <formula>NOT(ISERROR(SEARCH(("Chưa bắt đầu"),(H8))))</formula>
    </cfRule>
    <cfRule type="containsText" priority="7" operator="containsText" dxfId="3" text="Đang thực hiện">
      <formula>NOT(ISERROR(SEARCH(("Đang thực hiện"),(H8))))</formula>
    </cfRule>
    <cfRule type="containsText" priority="8" operator="containsText" dxfId="6" text="Review/Verify">
      <formula>NOT(ISERROR(SEARCH(("Review/Verify"),(H8))))</formula>
    </cfRule>
    <cfRule type="containsText" priority="9" operator="containsText" dxfId="7" text="Hoàn thành">
      <formula>NOT(ISERROR(SEARCH(("Hoàn thành"),(H8))))</formula>
    </cfRule>
    <cfRule type="containsText" priority="10" operator="containsText" dxfId="8" text="Bị chặn">
      <formula>NOT(ISERROR(SEARCH(("Bị chặn"),(H8))))</formula>
    </cfRule>
  </conditionalFormatting>
  <dataValidations count="5">
    <dataValidation sqref="L25:L51" showDropDown="0" showInputMessage="0" showErrorMessage="1" allowBlank="1" type="list">
      <formula1>"Chưa bắt đầu,Đang thực hiện,Review/Verify,Hoàn thành,Bị chặn"</formula1>
    </dataValidation>
    <dataValidation sqref="K25:K51 K56:K60" showDropDown="0" showInputMessage="0" showErrorMessage="1" allowBlank="1" type="list">
      <formula1>"High,Medium,Low"</formula1>
    </dataValidation>
    <dataValidation sqref="D25:D51 D56:D60" showDropDown="0" showInputMessage="0" showErrorMessage="1" allowBlank="1" type="list">
      <formula1>"Document,Meeting,Team Management"</formula1>
    </dataValidation>
    <dataValidation sqref="H8:H16" showDropDown="0" showInputMessage="0" showErrorMessage="0" allowBlank="1" type="list">
      <formula1>"Chưa bắt đầu,Đang thực hiện,Review/Verify,Hoàn thành,Bị chặn"</formula1>
    </dataValidation>
    <dataValidation sqref="H25:H51 H56:H60" showDropDown="0" showInputMessage="0" showErrorMessage="1" allowBlank="1" type="list">
      <formula1>"XSmall,Small,Medium"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2F75B5"/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ColWidth="12.63" defaultRowHeight="15" customHeight="1"/>
  <cols>
    <col width="11.88" customWidth="1" style="89" min="1" max="1"/>
    <col width="6.88" customWidth="1" style="89" min="2" max="2"/>
    <col width="26.25" customWidth="1" style="89" min="3" max="3"/>
    <col width="18.75" customWidth="1" style="89" min="4" max="4"/>
    <col width="45" customWidth="1" style="89" min="5" max="5"/>
    <col width="36.25" customWidth="1" style="89" min="6" max="6"/>
    <col width="8.630000000000001" customWidth="1" style="89" min="7" max="26"/>
  </cols>
  <sheetData>
    <row r="2" ht="27.75" customHeight="1" s="89">
      <c r="A2" s="1" t="inlineStr">
        <is>
          <t>AGENDA HỌP HÔM NAY - TỐI ĐA 30 PHÚT</t>
        </is>
      </c>
    </row>
    <row r="3" ht="25.5" customHeight="1" s="89">
      <c r="A3" s="63" t="inlineStr">
        <is>
          <t>Mục tiêu: nghe phần đã chuẩn bị, thống nhất công việc tiếp theo, giải đáp vướng mắc và chốt owner + deadline cho đủ 9 bài tập.</t>
        </is>
      </c>
    </row>
    <row r="5" ht="31.5" customHeight="1" s="89">
      <c r="A5" s="7" t="inlineStr">
        <is>
          <t>Thời gian</t>
        </is>
      </c>
      <c r="B5" s="7" t="inlineStr">
        <is>
          <t>Phút</t>
        </is>
      </c>
      <c r="C5" s="7" t="inlineStr">
        <is>
          <t>Nội dung</t>
        </is>
      </c>
      <c r="D5" s="7" t="inlineStr">
        <is>
          <t>Người dẫn</t>
        </is>
      </c>
      <c r="E5" s="7" t="inlineStr">
        <is>
          <t>Cách thực hiện</t>
        </is>
      </c>
      <c r="F5" s="7" t="inlineStr">
        <is>
          <t>Kết quả phải chốt</t>
        </is>
      </c>
    </row>
    <row r="6" ht="81.75" customHeight="1" s="89">
      <c r="A6" s="8" t="inlineStr">
        <is>
          <t>0-8 phút</t>
        </is>
      </c>
      <c r="B6" s="64" t="n">
        <v>8</v>
      </c>
      <c r="C6" s="11" t="inlineStr">
        <is>
          <t>Trình bày công việc đã chuẩn bị</t>
        </is>
      </c>
      <c r="D6" s="65" t="inlineStr">
        <is>
          <t>PM điều phối; từng thành viên báo cáo</t>
        </is>
      </c>
      <c r="E6" s="11" t="inlineStr">
        <is>
          <t>Mỗi người tối đa 1 phút: ý tưởng/sản phẩm; khách hàng; nhu cầu; giá nhập-giá bán; bằng chứng; điểm chưa chắc.</t>
        </is>
      </c>
      <c r="F6" s="11" t="inlineStr">
        <is>
          <t>Danh sách ý tưởng và dữ liệu sơ bộ; ghi rõ thông tin còn thiếu.</t>
        </is>
      </c>
    </row>
    <row r="7" ht="81.75" customHeight="1" s="89">
      <c r="A7" s="16" t="inlineStr">
        <is>
          <t>8-15 phút</t>
        </is>
      </c>
      <c r="B7" s="66" t="n">
        <v>7</v>
      </c>
      <c r="C7" s="25" t="inlineStr">
        <is>
          <t>Lên ý tưởng cho công việc sắp tới</t>
        </is>
      </c>
      <c r="D7" s="67" t="inlineStr">
        <is>
          <t>Research/Product</t>
        </is>
      </c>
      <c r="E7" s="25" t="inlineStr">
        <is>
          <t>So sánh nhanh và giữ 2 ý tưởng để làm BT1; xác định khảo sát, nguồn hàng, đối thủ, giá và rủi ro cần kiểm chứng.</t>
        </is>
      </c>
      <c r="F7" s="25" t="inlineStr">
        <is>
          <t>2 ý tưởng chính thức để so sánh; ưu tiên 1 ý tưởng; danh sách việc cần kiểm chứng.</t>
        </is>
      </c>
    </row>
    <row r="8" ht="81.75" customHeight="1" s="89">
      <c r="A8" s="16" t="inlineStr">
        <is>
          <t>15-23 phút</t>
        </is>
      </c>
      <c r="B8" s="66" t="n">
        <v>8</v>
      </c>
      <c r="C8" s="25" t="inlineStr">
        <is>
          <t>Chốt phân công 9 bài tập</t>
        </is>
      </c>
      <c r="D8" s="67" t="inlineStr">
        <is>
          <t>PM</t>
        </is>
      </c>
      <c r="E8" s="25" t="inlineStr">
        <is>
          <t>Đọc từng BT1-BT9; xác nhận phụ trách chính, người hỗ trợ, đầu ra và deadline nội bộ trong sheet Công việc Tuần 1.</t>
        </is>
      </c>
      <c r="F8" s="25" t="inlineStr">
        <is>
          <t>Không còn bài tập thiếu owner; từng vị trí hiểu phần phải bàn giao.</t>
        </is>
      </c>
    </row>
    <row r="9" ht="81.75" customHeight="1" s="89">
      <c r="A9" s="16" t="inlineStr">
        <is>
          <t>23-27 phút</t>
        </is>
      </c>
      <c r="B9" s="66" t="n">
        <v>4</v>
      </c>
      <c r="C9" s="25" t="inlineStr">
        <is>
          <t>Q&amp;A và xử lý vướng mắc</t>
        </is>
      </c>
      <c r="D9" s="67" t="inlineStr">
        <is>
          <t>PM</t>
        </is>
      </c>
      <c r="E9" s="25" t="inlineStr">
        <is>
          <t>Chỉ hỏi điểm ảnh hưởng đến đầu ra, phối hợp hoặc deadline; câu chưa giải quyết được ghi vào Ghi chú PM và chỉ định người xử lý.</t>
        </is>
      </c>
      <c r="F9" s="25" t="inlineStr">
        <is>
          <t>Danh sách vướng mắc, người xử lý và thời điểm phản hồi.</t>
        </is>
      </c>
    </row>
    <row r="10" ht="81.75" customHeight="1" s="89">
      <c r="A10" s="26" t="inlineStr">
        <is>
          <t>27-30 phút</t>
        </is>
      </c>
      <c r="B10" s="68" t="n">
        <v>3</v>
      </c>
      <c r="C10" s="30" t="inlineStr">
        <is>
          <t>PM đọc lại quyết định và kết thúc</t>
        </is>
      </c>
      <c r="D10" s="69" t="inlineStr">
        <is>
          <t>PM</t>
        </is>
      </c>
      <c r="E10" s="30" t="inlineStr">
        <is>
          <t>Đọc lại sản phẩm/ý tưởng ưu tiên, owner, deadline, kênh trao đổi, nơi tải minh chứng và thời điểm check-in tiếp theo.</t>
        </is>
      </c>
      <c r="F10" s="30" t="inlineStr">
        <is>
          <t>Cả nhóm xác nhận phân công; Task Board và Drive được tạo ngay sau họp.</t>
        </is>
      </c>
    </row>
    <row r="12" ht="25.5" customHeight="1" s="89">
      <c r="A12" s="93" t="inlineStr">
        <is>
          <t>CHECKLIST TRƯỚC KHI KẾT THÚC HỌP</t>
        </is>
      </c>
    </row>
    <row r="13" ht="30" customHeight="1" s="89">
      <c r="A13" s="8" t="inlineStr">
        <is>
          <t>1</t>
        </is>
      </c>
      <c r="B13" s="73" t="inlineStr">
        <is>
          <t>Đã giữ lại 2 ý tưởng để so sánh và xác định ý tưởng ưu tiên</t>
        </is>
      </c>
      <c r="C13" s="94" t="n"/>
      <c r="D13" s="94" t="n"/>
      <c r="E13" s="94" t="n"/>
      <c r="F13" s="75" t="inlineStr">
        <is>
          <t>Chưa xác nhận</t>
        </is>
      </c>
    </row>
    <row r="14" ht="30" customHeight="1" s="89">
      <c r="A14" s="16" t="inlineStr">
        <is>
          <t>2</t>
        </is>
      </c>
      <c r="B14" s="79" t="inlineStr">
        <is>
          <t>Đủ phụ trách chính và người hỗ trợ cho BT1-BT9</t>
        </is>
      </c>
      <c r="C14" s="95" t="n"/>
      <c r="D14" s="95" t="n"/>
      <c r="E14" s="95" t="n"/>
      <c r="F14" s="78" t="inlineStr">
        <is>
          <t>Chưa xác nhận</t>
        </is>
      </c>
    </row>
    <row r="15" ht="30" customHeight="1" s="89">
      <c r="A15" s="16" t="inlineStr">
        <is>
          <t>3</t>
        </is>
      </c>
      <c r="B15" s="79" t="inlineStr">
        <is>
          <t>Mỗi bài có đầu ra, deadline nội bộ và nơi lưu minh chứng</t>
        </is>
      </c>
      <c r="C15" s="95" t="n"/>
      <c r="D15" s="95" t="n"/>
      <c r="E15" s="95" t="n"/>
      <c r="F15" s="78" t="inlineStr">
        <is>
          <t>Chưa xác nhận</t>
        </is>
      </c>
    </row>
    <row r="16" ht="30" customHeight="1" s="89">
      <c r="A16" s="16" t="inlineStr">
        <is>
          <t>4</t>
        </is>
      </c>
      <c r="B16" s="79" t="inlineStr">
        <is>
          <t>Đã thống nhất kênh trao đổi, thời gian phản hồi và check-in tiếp theo</t>
        </is>
      </c>
      <c r="C16" s="95" t="n"/>
      <c r="D16" s="95" t="n"/>
      <c r="E16" s="95" t="n"/>
      <c r="F16" s="78" t="inlineStr">
        <is>
          <t>Chưa xác nhận</t>
        </is>
      </c>
    </row>
    <row r="17" ht="30" customHeight="1" s="89">
      <c r="A17" s="26" t="inlineStr">
        <is>
          <t>5</t>
        </is>
      </c>
      <c r="B17" s="80" t="inlineStr">
        <is>
          <t>Task Board và kho minh chứng có người tạo ngay sau họp</t>
        </is>
      </c>
      <c r="C17" s="96" t="n"/>
      <c r="D17" s="96" t="n"/>
      <c r="E17" s="96" t="n"/>
      <c r="F17" s="82" t="inlineStr">
        <is>
          <t>Chưa xác nhận</t>
        </is>
      </c>
    </row>
    <row r="21" ht="15.75" customHeight="1" s="89"/>
    <row r="22" ht="15.75" customHeight="1" s="89"/>
    <row r="23" ht="15.75" customHeight="1" s="89"/>
    <row r="24" ht="15.75" customHeight="1" s="89"/>
    <row r="25" ht="15.75" customHeight="1" s="89"/>
    <row r="26" ht="15.75" customHeight="1" s="89"/>
    <row r="27" ht="15.75" customHeight="1" s="89"/>
    <row r="28" ht="15.75" customHeight="1" s="89"/>
    <row r="29" ht="15.75" customHeight="1" s="89"/>
    <row r="30" ht="15.75" customHeight="1" s="89"/>
    <row r="31" ht="15.75" customHeight="1" s="89"/>
    <row r="32" ht="15.75" customHeight="1" s="89"/>
    <row r="33" ht="15.75" customHeight="1" s="89"/>
    <row r="34" ht="15.75" customHeight="1" s="89"/>
    <row r="35" ht="15.75" customHeight="1" s="89"/>
    <row r="36" ht="15.75" customHeight="1" s="89"/>
    <row r="37" ht="15.75" customHeight="1" s="89"/>
    <row r="38" ht="15.75" customHeight="1" s="89"/>
    <row r="39" ht="15.75" customHeight="1" s="89"/>
    <row r="40" ht="15.75" customHeight="1" s="89"/>
    <row r="41" ht="15.75" customHeight="1" s="89"/>
    <row r="42" ht="15.75" customHeight="1" s="89"/>
    <row r="43" ht="15.75" customHeight="1" s="89"/>
    <row r="44" ht="15.75" customHeight="1" s="89"/>
    <row r="45" ht="15.75" customHeight="1" s="89"/>
    <row r="46" ht="15.75" customHeight="1" s="89"/>
    <row r="47" ht="15.75" customHeight="1" s="89"/>
    <row r="48" ht="15.75" customHeight="1" s="89"/>
    <row r="49" ht="15.75" customHeight="1" s="89"/>
    <row r="50" ht="15.75" customHeight="1" s="89"/>
    <row r="51" ht="15.75" customHeight="1" s="89"/>
    <row r="52" ht="15.75" customHeight="1" s="89"/>
    <row r="53" ht="15.75" customHeight="1" s="89"/>
    <row r="54" ht="15.75" customHeight="1" s="89"/>
    <row r="55" ht="15.75" customHeight="1" s="89"/>
    <row r="56" ht="15.75" customHeight="1" s="89"/>
    <row r="57" ht="15.75" customHeight="1" s="89"/>
    <row r="58" ht="15.75" customHeight="1" s="89"/>
    <row r="59" ht="15.75" customHeight="1" s="89"/>
    <row r="60" ht="15.75" customHeight="1" s="89"/>
    <row r="61" ht="15.75" customHeight="1" s="89"/>
    <row r="62" ht="15.75" customHeight="1" s="89"/>
    <row r="63" ht="15.75" customHeight="1" s="89"/>
    <row r="64" ht="15.75" customHeight="1" s="89"/>
    <row r="65" ht="15.75" customHeight="1" s="89"/>
    <row r="66" ht="15.75" customHeight="1" s="89"/>
    <row r="67" ht="15.75" customHeight="1" s="89"/>
    <row r="68" ht="15.75" customHeight="1" s="89"/>
    <row r="69" ht="15.75" customHeight="1" s="89"/>
    <row r="70" ht="15.75" customHeight="1" s="89"/>
    <row r="71" ht="15.75" customHeight="1" s="89"/>
    <row r="72" ht="15.75" customHeight="1" s="89"/>
    <row r="73" ht="15.75" customHeight="1" s="89"/>
    <row r="74" ht="15.75" customHeight="1" s="89"/>
    <row r="75" ht="15.75" customHeight="1" s="89"/>
    <row r="76" ht="15.75" customHeight="1" s="89"/>
    <row r="77" ht="15.75" customHeight="1" s="89"/>
    <row r="78" ht="15.75" customHeight="1" s="89"/>
    <row r="79" ht="15.75" customHeight="1" s="89"/>
    <row r="80" ht="15.75" customHeight="1" s="89"/>
    <row r="81" ht="15.75" customHeight="1" s="89"/>
    <row r="82" ht="15.75" customHeight="1" s="89"/>
    <row r="83" ht="15.75" customHeight="1" s="89"/>
    <row r="84" ht="15.75" customHeight="1" s="89"/>
    <row r="85" ht="15.75" customHeight="1" s="89"/>
    <row r="86" ht="15.75" customHeight="1" s="89"/>
    <row r="87" ht="15.75" customHeight="1" s="89"/>
    <row r="88" ht="15.75" customHeight="1" s="89"/>
    <row r="89" ht="15.75" customHeight="1" s="89"/>
    <row r="90" ht="15.75" customHeight="1" s="89"/>
    <row r="91" ht="15.75" customHeight="1" s="89"/>
    <row r="92" ht="15.75" customHeight="1" s="89"/>
    <row r="93" ht="15.75" customHeight="1" s="89"/>
    <row r="94" ht="15.75" customHeight="1" s="89"/>
    <row r="95" ht="15.75" customHeight="1" s="89"/>
    <row r="96" ht="15.75" customHeight="1" s="89"/>
    <row r="97" ht="15.75" customHeight="1" s="89"/>
    <row r="98" ht="15.75" customHeight="1" s="89"/>
    <row r="99" ht="15.75" customHeight="1" s="89"/>
    <row r="100" ht="15.75" customHeight="1" s="89"/>
    <row r="101" ht="15.75" customHeight="1" s="89"/>
    <row r="102" ht="15.75" customHeight="1" s="89"/>
    <row r="103" ht="15.75" customHeight="1" s="89"/>
    <row r="104" ht="15.75" customHeight="1" s="89"/>
    <row r="105" ht="15.75" customHeight="1" s="89"/>
    <row r="106" ht="15.75" customHeight="1" s="89"/>
    <row r="107" ht="15.75" customHeight="1" s="89"/>
    <row r="108" ht="15.75" customHeight="1" s="89"/>
    <row r="109" ht="15.75" customHeight="1" s="89"/>
    <row r="110" ht="15.75" customHeight="1" s="89"/>
    <row r="111" ht="15.75" customHeight="1" s="89"/>
    <row r="112" ht="15.75" customHeight="1" s="89"/>
    <row r="113" ht="15.75" customHeight="1" s="89"/>
    <row r="114" ht="15.75" customHeight="1" s="89"/>
    <row r="115" ht="15.75" customHeight="1" s="89"/>
    <row r="116" ht="15.75" customHeight="1" s="89"/>
    <row r="117" ht="15.75" customHeight="1" s="89"/>
    <row r="118" ht="15.75" customHeight="1" s="89"/>
    <row r="119" ht="15.75" customHeight="1" s="89"/>
    <row r="120" ht="15.75" customHeight="1" s="89"/>
    <row r="121" ht="15.75" customHeight="1" s="89"/>
    <row r="122" ht="15.75" customHeight="1" s="89"/>
    <row r="123" ht="15.75" customHeight="1" s="89"/>
    <row r="124" ht="15.75" customHeight="1" s="89"/>
    <row r="125" ht="15.75" customHeight="1" s="89"/>
    <row r="126" ht="15.75" customHeight="1" s="89"/>
    <row r="127" ht="15.75" customHeight="1" s="89"/>
    <row r="128" ht="15.75" customHeight="1" s="89"/>
    <row r="129" ht="15.75" customHeight="1" s="89"/>
    <row r="130" ht="15.75" customHeight="1" s="89"/>
    <row r="131" ht="15.75" customHeight="1" s="89"/>
    <row r="132" ht="15.75" customHeight="1" s="89"/>
    <row r="133" ht="15.75" customHeight="1" s="89"/>
    <row r="134" ht="15.75" customHeight="1" s="89"/>
    <row r="135" ht="15.75" customHeight="1" s="89"/>
    <row r="136" ht="15.75" customHeight="1" s="89"/>
    <row r="137" ht="15.75" customHeight="1" s="89"/>
    <row r="138" ht="15.75" customHeight="1" s="89"/>
    <row r="139" ht="15.75" customHeight="1" s="89"/>
    <row r="140" ht="15.75" customHeight="1" s="89"/>
    <row r="141" ht="15.75" customHeight="1" s="89"/>
    <row r="142" ht="15.75" customHeight="1" s="89"/>
    <row r="143" ht="15.75" customHeight="1" s="89"/>
    <row r="144" ht="15.75" customHeight="1" s="89"/>
    <row r="145" ht="15.75" customHeight="1" s="89"/>
    <row r="146" ht="15.75" customHeight="1" s="89"/>
    <row r="147" ht="15.75" customHeight="1" s="89"/>
    <row r="148" ht="15.75" customHeight="1" s="89"/>
    <row r="149" ht="15.75" customHeight="1" s="89"/>
    <row r="150" ht="15.75" customHeight="1" s="89"/>
    <row r="151" ht="15.75" customHeight="1" s="89"/>
    <row r="152" ht="15.75" customHeight="1" s="89"/>
    <row r="153" ht="15.75" customHeight="1" s="89"/>
    <row r="154" ht="15.75" customHeight="1" s="89"/>
    <row r="155" ht="15.75" customHeight="1" s="89"/>
    <row r="156" ht="15.75" customHeight="1" s="89"/>
    <row r="157" ht="15.75" customHeight="1" s="89"/>
    <row r="158" ht="15.75" customHeight="1" s="89"/>
    <row r="159" ht="15.75" customHeight="1" s="89"/>
    <row r="160" ht="15.75" customHeight="1" s="89"/>
    <row r="161" ht="15.75" customHeight="1" s="89"/>
    <row r="162" ht="15.75" customHeight="1" s="89"/>
    <row r="163" ht="15.75" customHeight="1" s="89"/>
    <row r="164" ht="15.75" customHeight="1" s="89"/>
    <row r="165" ht="15.75" customHeight="1" s="89"/>
    <row r="166" ht="15.75" customHeight="1" s="89"/>
    <row r="167" ht="15.75" customHeight="1" s="89"/>
    <row r="168" ht="15.75" customHeight="1" s="89"/>
    <row r="169" ht="15.75" customHeight="1" s="89"/>
    <row r="170" ht="15.75" customHeight="1" s="89"/>
    <row r="171" ht="15.75" customHeight="1" s="89"/>
    <row r="172" ht="15.75" customHeight="1" s="89"/>
    <row r="173" ht="15.75" customHeight="1" s="89"/>
    <row r="174" ht="15.75" customHeight="1" s="89"/>
    <row r="175" ht="15.75" customHeight="1" s="89"/>
    <row r="176" ht="15.75" customHeight="1" s="89"/>
    <row r="177" ht="15.75" customHeight="1" s="89"/>
    <row r="178" ht="15.75" customHeight="1" s="89"/>
    <row r="179" ht="15.75" customHeight="1" s="89"/>
    <row r="180" ht="15.75" customHeight="1" s="89"/>
    <row r="181" ht="15.75" customHeight="1" s="89"/>
    <row r="182" ht="15.75" customHeight="1" s="89"/>
    <row r="183" ht="15.75" customHeight="1" s="89"/>
    <row r="184" ht="15.75" customHeight="1" s="89"/>
    <row r="185" ht="15.75" customHeight="1" s="89"/>
    <row r="186" ht="15.75" customHeight="1" s="89"/>
    <row r="187" ht="15.75" customHeight="1" s="89"/>
    <row r="188" ht="15.75" customHeight="1" s="89"/>
    <row r="189" ht="15.75" customHeight="1" s="89"/>
    <row r="190" ht="15.75" customHeight="1" s="89"/>
    <row r="191" ht="15.75" customHeight="1" s="89"/>
    <row r="192" ht="15.75" customHeight="1" s="89"/>
    <row r="193" ht="15.75" customHeight="1" s="89"/>
    <row r="194" ht="15.75" customHeight="1" s="89"/>
    <row r="195" ht="15.75" customHeight="1" s="89"/>
    <row r="196" ht="15.75" customHeight="1" s="89"/>
    <row r="197" ht="15.75" customHeight="1" s="89"/>
    <row r="198" ht="15.75" customHeight="1" s="89"/>
    <row r="199" ht="15.75" customHeight="1" s="89"/>
    <row r="200" ht="15.75" customHeight="1" s="89"/>
    <row r="201" ht="15.75" customHeight="1" s="89"/>
    <row r="202" ht="15.75" customHeight="1" s="89"/>
    <row r="203" ht="15.75" customHeight="1" s="89"/>
    <row r="204" ht="15.75" customHeight="1" s="89"/>
    <row r="205" ht="15.75" customHeight="1" s="89"/>
    <row r="206" ht="15.75" customHeight="1" s="89"/>
    <row r="207" ht="15.75" customHeight="1" s="89"/>
    <row r="208" ht="15.75" customHeight="1" s="89"/>
    <row r="209" ht="15.75" customHeight="1" s="89"/>
    <row r="210" ht="15.75" customHeight="1" s="89"/>
    <row r="211" ht="15.75" customHeight="1" s="89"/>
    <row r="212" ht="15.75" customHeight="1" s="89"/>
    <row r="213" ht="15.75" customHeight="1" s="89"/>
    <row r="214" ht="15.75" customHeight="1" s="89"/>
    <row r="215" ht="15.75" customHeight="1" s="89"/>
    <row r="216" ht="15.75" customHeight="1" s="89"/>
    <row r="217" ht="15.75" customHeight="1" s="89"/>
    <row r="218" ht="15.75" customHeight="1" s="89"/>
    <row r="219" ht="15.75" customHeight="1" s="89"/>
    <row r="220" ht="15.75" customHeight="1" s="89"/>
    <row r="221" ht="15.75" customHeight="1" s="89"/>
    <row r="222" ht="15.75" customHeight="1" s="89"/>
    <row r="223" ht="15.75" customHeight="1" s="89"/>
    <row r="224" ht="15.75" customHeight="1" s="89"/>
    <row r="225" ht="15.75" customHeight="1" s="89"/>
    <row r="226" ht="15.75" customHeight="1" s="89"/>
    <row r="227" ht="15.75" customHeight="1" s="89"/>
    <row r="228" ht="15.75" customHeight="1" s="89"/>
    <row r="229" ht="15.75" customHeight="1" s="89"/>
    <row r="230" ht="15.75" customHeight="1" s="89"/>
    <row r="231" ht="15.75" customHeight="1" s="89"/>
    <row r="232" ht="15.75" customHeight="1" s="89"/>
    <row r="233" ht="15.75" customHeight="1" s="89"/>
    <row r="234" ht="15.75" customHeight="1" s="89"/>
    <row r="235" ht="15.75" customHeight="1" s="89"/>
    <row r="236" ht="15.75" customHeight="1" s="89"/>
    <row r="237" ht="15.75" customHeight="1" s="89"/>
    <row r="238" ht="15.75" customHeight="1" s="89"/>
    <row r="239" ht="15.75" customHeight="1" s="89"/>
    <row r="240" ht="15.75" customHeight="1" s="89"/>
    <row r="241" ht="15.75" customHeight="1" s="89"/>
    <row r="242" ht="15.75" customHeight="1" s="89"/>
    <row r="243" ht="15.75" customHeight="1" s="89"/>
    <row r="244" ht="15.75" customHeight="1" s="89"/>
    <row r="245" ht="15.75" customHeight="1" s="89"/>
    <row r="246" ht="15.75" customHeight="1" s="89"/>
    <row r="247" ht="15.75" customHeight="1" s="89"/>
    <row r="248" ht="15.75" customHeight="1" s="89"/>
    <row r="249" ht="15.75" customHeight="1" s="89"/>
    <row r="250" ht="15.75" customHeight="1" s="89"/>
    <row r="251" ht="15.75" customHeight="1" s="89"/>
    <row r="252" ht="15.75" customHeight="1" s="89"/>
    <row r="253" ht="15.75" customHeight="1" s="89"/>
    <row r="254" ht="15.75" customHeight="1" s="89"/>
    <row r="255" ht="15.75" customHeight="1" s="89"/>
    <row r="256" ht="15.75" customHeight="1" s="89"/>
    <row r="257" ht="15.75" customHeight="1" s="89"/>
    <row r="258" ht="15.75" customHeight="1" s="89"/>
    <row r="259" ht="15.75" customHeight="1" s="89"/>
    <row r="260" ht="15.75" customHeight="1" s="89"/>
    <row r="261" ht="15.75" customHeight="1" s="89"/>
    <row r="262" ht="15.75" customHeight="1" s="89"/>
    <row r="263" ht="15.75" customHeight="1" s="89"/>
    <row r="264" ht="15.75" customHeight="1" s="89"/>
    <row r="265" ht="15.75" customHeight="1" s="89"/>
    <row r="266" ht="15.75" customHeight="1" s="89"/>
    <row r="267" ht="15.75" customHeight="1" s="89"/>
    <row r="268" ht="15.75" customHeight="1" s="89"/>
    <row r="269" ht="15.75" customHeight="1" s="89"/>
    <row r="270" ht="15.75" customHeight="1" s="89"/>
    <row r="271" ht="15.75" customHeight="1" s="89"/>
    <row r="272" ht="15.75" customHeight="1" s="89"/>
    <row r="273" ht="15.75" customHeight="1" s="89"/>
    <row r="274" ht="15.75" customHeight="1" s="89"/>
    <row r="275" ht="15.75" customHeight="1" s="89"/>
    <row r="276" ht="15.75" customHeight="1" s="89"/>
    <row r="277" ht="15.75" customHeight="1" s="89"/>
    <row r="278" ht="15.75" customHeight="1" s="89"/>
    <row r="279" ht="15.75" customHeight="1" s="89"/>
    <row r="280" ht="15.75" customHeight="1" s="89"/>
    <row r="281" ht="15.75" customHeight="1" s="89"/>
    <row r="282" ht="15.75" customHeight="1" s="89"/>
    <row r="283" ht="15.75" customHeight="1" s="89"/>
    <row r="284" ht="15.75" customHeight="1" s="89"/>
    <row r="285" ht="15.75" customHeight="1" s="89"/>
    <row r="286" ht="15.75" customHeight="1" s="89"/>
    <row r="287" ht="15.75" customHeight="1" s="89"/>
    <row r="288" ht="15.75" customHeight="1" s="89"/>
    <row r="289" ht="15.75" customHeight="1" s="89"/>
    <row r="290" ht="15.75" customHeight="1" s="89"/>
    <row r="291" ht="15.75" customHeight="1" s="89"/>
    <row r="292" ht="15.75" customHeight="1" s="89"/>
    <row r="293" ht="15.75" customHeight="1" s="89"/>
    <row r="294" ht="15.75" customHeight="1" s="89"/>
    <row r="295" ht="15.75" customHeight="1" s="89"/>
    <row r="296" ht="15.75" customHeight="1" s="89"/>
    <row r="297" ht="15.75" customHeight="1" s="89"/>
    <row r="298" ht="15.75" customHeight="1" s="89"/>
    <row r="299" ht="15.75" customHeight="1" s="89"/>
    <row r="300" ht="15.75" customHeight="1" s="89"/>
    <row r="301" ht="15.75" customHeight="1" s="89"/>
    <row r="302" ht="15.75" customHeight="1" s="89"/>
    <row r="303" ht="15.75" customHeight="1" s="89"/>
    <row r="304" ht="15.75" customHeight="1" s="89"/>
    <row r="305" ht="15.75" customHeight="1" s="89"/>
    <row r="306" ht="15.75" customHeight="1" s="89"/>
    <row r="307" ht="15.75" customHeight="1" s="89"/>
    <row r="308" ht="15.75" customHeight="1" s="89"/>
    <row r="309" ht="15.75" customHeight="1" s="89"/>
    <row r="310" ht="15.75" customHeight="1" s="89"/>
    <row r="311" ht="15.75" customHeight="1" s="89"/>
    <row r="312" ht="15.75" customHeight="1" s="89"/>
    <row r="313" ht="15.75" customHeight="1" s="89"/>
    <row r="314" ht="15.75" customHeight="1" s="89"/>
    <row r="315" ht="15.75" customHeight="1" s="89"/>
    <row r="316" ht="15.75" customHeight="1" s="89"/>
    <row r="317" ht="15.75" customHeight="1" s="89"/>
    <row r="318" ht="15.75" customHeight="1" s="89"/>
    <row r="319" ht="15.75" customHeight="1" s="89"/>
    <row r="320" ht="15.75" customHeight="1" s="89"/>
    <row r="321" ht="15.75" customHeight="1" s="89"/>
    <row r="322" ht="15.75" customHeight="1" s="89"/>
    <row r="323" ht="15.75" customHeight="1" s="89"/>
    <row r="324" ht="15.75" customHeight="1" s="89"/>
    <row r="325" ht="15.75" customHeight="1" s="89"/>
    <row r="326" ht="15.75" customHeight="1" s="89"/>
    <row r="327" ht="15.75" customHeight="1" s="89"/>
    <row r="328" ht="15.75" customHeight="1" s="89"/>
    <row r="329" ht="15.75" customHeight="1" s="89"/>
    <row r="330" ht="15.75" customHeight="1" s="89"/>
    <row r="331" ht="15.75" customHeight="1" s="89"/>
    <row r="332" ht="15.75" customHeight="1" s="89"/>
    <row r="333" ht="15.75" customHeight="1" s="89"/>
    <row r="334" ht="15.75" customHeight="1" s="89"/>
    <row r="335" ht="15.75" customHeight="1" s="89"/>
    <row r="336" ht="15.75" customHeight="1" s="89"/>
    <row r="337" ht="15.75" customHeight="1" s="89"/>
    <row r="338" ht="15.75" customHeight="1" s="89"/>
    <row r="339" ht="15.75" customHeight="1" s="89"/>
    <row r="340" ht="15.75" customHeight="1" s="89"/>
    <row r="341" ht="15.75" customHeight="1" s="89"/>
    <row r="342" ht="15.75" customHeight="1" s="89"/>
    <row r="343" ht="15.75" customHeight="1" s="89"/>
    <row r="344" ht="15.75" customHeight="1" s="89"/>
    <row r="345" ht="15.75" customHeight="1" s="89"/>
    <row r="346" ht="15.75" customHeight="1" s="89"/>
    <row r="347" ht="15.75" customHeight="1" s="89"/>
    <row r="348" ht="15.75" customHeight="1" s="89"/>
    <row r="349" ht="15.75" customHeight="1" s="89"/>
    <row r="350" ht="15.75" customHeight="1" s="89"/>
    <row r="351" ht="15.75" customHeight="1" s="89"/>
    <row r="352" ht="15.75" customHeight="1" s="89"/>
    <row r="353" ht="15.75" customHeight="1" s="89"/>
    <row r="354" ht="15.75" customHeight="1" s="89"/>
    <row r="355" ht="15.75" customHeight="1" s="89"/>
    <row r="356" ht="15.75" customHeight="1" s="89"/>
    <row r="357" ht="15.75" customHeight="1" s="89"/>
    <row r="358" ht="15.75" customHeight="1" s="89"/>
    <row r="359" ht="15.75" customHeight="1" s="89"/>
    <row r="360" ht="15.75" customHeight="1" s="89"/>
    <row r="361" ht="15.75" customHeight="1" s="89"/>
    <row r="362" ht="15.75" customHeight="1" s="89"/>
    <row r="363" ht="15.75" customHeight="1" s="89"/>
    <row r="364" ht="15.75" customHeight="1" s="89"/>
    <row r="365" ht="15.75" customHeight="1" s="89"/>
    <row r="366" ht="15.75" customHeight="1" s="89"/>
    <row r="367" ht="15.75" customHeight="1" s="89"/>
    <row r="368" ht="15.75" customHeight="1" s="89"/>
    <row r="369" ht="15.75" customHeight="1" s="89"/>
    <row r="370" ht="15.75" customHeight="1" s="89"/>
    <row r="371" ht="15.75" customHeight="1" s="89"/>
    <row r="372" ht="15.75" customHeight="1" s="89"/>
    <row r="373" ht="15.75" customHeight="1" s="89"/>
    <row r="374" ht="15.75" customHeight="1" s="89"/>
    <row r="375" ht="15.75" customHeight="1" s="89"/>
    <row r="376" ht="15.75" customHeight="1" s="89"/>
    <row r="377" ht="15.75" customHeight="1" s="89"/>
    <row r="378" ht="15.75" customHeight="1" s="89"/>
    <row r="379" ht="15.75" customHeight="1" s="89"/>
    <row r="380" ht="15.75" customHeight="1" s="89"/>
    <row r="381" ht="15.75" customHeight="1" s="89"/>
    <row r="382" ht="15.75" customHeight="1" s="89"/>
    <row r="383" ht="15.75" customHeight="1" s="89"/>
    <row r="384" ht="15.75" customHeight="1" s="89"/>
    <row r="385" ht="15.75" customHeight="1" s="89"/>
    <row r="386" ht="15.75" customHeight="1" s="89"/>
    <row r="387" ht="15.75" customHeight="1" s="89"/>
    <row r="388" ht="15.75" customHeight="1" s="89"/>
    <row r="389" ht="15.75" customHeight="1" s="89"/>
    <row r="390" ht="15.75" customHeight="1" s="89"/>
    <row r="391" ht="15.75" customHeight="1" s="89"/>
    <row r="392" ht="15.75" customHeight="1" s="89"/>
    <row r="393" ht="15.75" customHeight="1" s="89"/>
    <row r="394" ht="15.75" customHeight="1" s="89"/>
    <row r="395" ht="15.75" customHeight="1" s="89"/>
    <row r="396" ht="15.75" customHeight="1" s="89"/>
    <row r="397" ht="15.75" customHeight="1" s="89"/>
    <row r="398" ht="15.75" customHeight="1" s="89"/>
    <row r="399" ht="15.75" customHeight="1" s="89"/>
    <row r="400" ht="15.75" customHeight="1" s="89"/>
    <row r="401" ht="15.75" customHeight="1" s="89"/>
    <row r="402" ht="15.75" customHeight="1" s="89"/>
    <row r="403" ht="15.75" customHeight="1" s="89"/>
    <row r="404" ht="15.75" customHeight="1" s="89"/>
    <row r="405" ht="15.75" customHeight="1" s="89"/>
    <row r="406" ht="15.75" customHeight="1" s="89"/>
    <row r="407" ht="15.75" customHeight="1" s="89"/>
    <row r="408" ht="15.75" customHeight="1" s="89"/>
    <row r="409" ht="15.75" customHeight="1" s="89"/>
    <row r="410" ht="15.75" customHeight="1" s="89"/>
    <row r="411" ht="15.75" customHeight="1" s="89"/>
    <row r="412" ht="15.75" customHeight="1" s="89"/>
    <row r="413" ht="15.75" customHeight="1" s="89"/>
    <row r="414" ht="15.75" customHeight="1" s="89"/>
    <row r="415" ht="15.75" customHeight="1" s="89"/>
    <row r="416" ht="15.75" customHeight="1" s="89"/>
    <row r="417" ht="15.75" customHeight="1" s="89"/>
    <row r="418" ht="15.75" customHeight="1" s="89"/>
    <row r="419" ht="15.75" customHeight="1" s="89"/>
    <row r="420" ht="15.75" customHeight="1" s="89"/>
    <row r="421" ht="15.75" customHeight="1" s="89"/>
    <row r="422" ht="15.75" customHeight="1" s="89"/>
    <row r="423" ht="15.75" customHeight="1" s="89"/>
    <row r="424" ht="15.75" customHeight="1" s="89"/>
    <row r="425" ht="15.75" customHeight="1" s="89"/>
    <row r="426" ht="15.75" customHeight="1" s="89"/>
    <row r="427" ht="15.75" customHeight="1" s="89"/>
    <row r="428" ht="15.75" customHeight="1" s="89"/>
    <row r="429" ht="15.75" customHeight="1" s="89"/>
    <row r="430" ht="15.75" customHeight="1" s="89"/>
    <row r="431" ht="15.75" customHeight="1" s="89"/>
    <row r="432" ht="15.75" customHeight="1" s="89"/>
    <row r="433" ht="15.75" customHeight="1" s="89"/>
    <row r="434" ht="15.75" customHeight="1" s="89"/>
    <row r="435" ht="15.75" customHeight="1" s="89"/>
    <row r="436" ht="15.75" customHeight="1" s="89"/>
    <row r="437" ht="15.75" customHeight="1" s="89"/>
    <row r="438" ht="15.75" customHeight="1" s="89"/>
    <row r="439" ht="15.75" customHeight="1" s="89"/>
    <row r="440" ht="15.75" customHeight="1" s="89"/>
    <row r="441" ht="15.75" customHeight="1" s="89"/>
    <row r="442" ht="15.75" customHeight="1" s="89"/>
    <row r="443" ht="15.75" customHeight="1" s="89"/>
    <row r="444" ht="15.75" customHeight="1" s="89"/>
    <row r="445" ht="15.75" customHeight="1" s="89"/>
    <row r="446" ht="15.75" customHeight="1" s="89"/>
    <row r="447" ht="15.75" customHeight="1" s="89"/>
    <row r="448" ht="15.75" customHeight="1" s="89"/>
    <row r="449" ht="15.75" customHeight="1" s="89"/>
    <row r="450" ht="15.75" customHeight="1" s="89"/>
    <row r="451" ht="15.75" customHeight="1" s="89"/>
    <row r="452" ht="15.75" customHeight="1" s="89"/>
    <row r="453" ht="15.75" customHeight="1" s="89"/>
    <row r="454" ht="15.75" customHeight="1" s="89"/>
    <row r="455" ht="15.75" customHeight="1" s="89"/>
    <row r="456" ht="15.75" customHeight="1" s="89"/>
    <row r="457" ht="15.75" customHeight="1" s="89"/>
    <row r="458" ht="15.75" customHeight="1" s="89"/>
    <row r="459" ht="15.75" customHeight="1" s="89"/>
    <row r="460" ht="15.75" customHeight="1" s="89"/>
    <row r="461" ht="15.75" customHeight="1" s="89"/>
    <row r="462" ht="15.75" customHeight="1" s="89"/>
    <row r="463" ht="15.75" customHeight="1" s="89"/>
    <row r="464" ht="15.75" customHeight="1" s="89"/>
    <row r="465" ht="15.75" customHeight="1" s="89"/>
    <row r="466" ht="15.75" customHeight="1" s="89"/>
    <row r="467" ht="15.75" customHeight="1" s="89"/>
    <row r="468" ht="15.75" customHeight="1" s="89"/>
    <row r="469" ht="15.75" customHeight="1" s="89"/>
    <row r="470" ht="15.75" customHeight="1" s="89"/>
    <row r="471" ht="15.75" customHeight="1" s="89"/>
    <row r="472" ht="15.75" customHeight="1" s="89"/>
    <row r="473" ht="15.75" customHeight="1" s="89"/>
    <row r="474" ht="15.75" customHeight="1" s="89"/>
    <row r="475" ht="15.75" customHeight="1" s="89"/>
    <row r="476" ht="15.75" customHeight="1" s="89"/>
    <row r="477" ht="15.75" customHeight="1" s="89"/>
    <row r="478" ht="15.75" customHeight="1" s="89"/>
    <row r="479" ht="15.75" customHeight="1" s="89"/>
    <row r="480" ht="15.75" customHeight="1" s="89"/>
    <row r="481" ht="15.75" customHeight="1" s="89"/>
    <row r="482" ht="15.75" customHeight="1" s="89"/>
    <row r="483" ht="15.75" customHeight="1" s="89"/>
    <row r="484" ht="15.75" customHeight="1" s="89"/>
    <row r="485" ht="15.75" customHeight="1" s="89"/>
    <row r="486" ht="15.75" customHeight="1" s="89"/>
    <row r="487" ht="15.75" customHeight="1" s="89"/>
    <row r="488" ht="15.75" customHeight="1" s="89"/>
    <row r="489" ht="15.75" customHeight="1" s="89"/>
    <row r="490" ht="15.75" customHeight="1" s="89"/>
    <row r="491" ht="15.75" customHeight="1" s="89"/>
    <row r="492" ht="15.75" customHeight="1" s="89"/>
    <row r="493" ht="15.75" customHeight="1" s="89"/>
    <row r="494" ht="15.75" customHeight="1" s="89"/>
    <row r="495" ht="15.75" customHeight="1" s="89"/>
    <row r="496" ht="15.75" customHeight="1" s="89"/>
    <row r="497" ht="15.75" customHeight="1" s="89"/>
    <row r="498" ht="15.75" customHeight="1" s="89"/>
    <row r="499" ht="15.75" customHeight="1" s="89"/>
    <row r="500" ht="15.75" customHeight="1" s="89"/>
    <row r="501" ht="15.75" customHeight="1" s="89"/>
    <row r="502" ht="15.75" customHeight="1" s="89"/>
    <row r="503" ht="15.75" customHeight="1" s="89"/>
    <row r="504" ht="15.75" customHeight="1" s="89"/>
    <row r="505" ht="15.75" customHeight="1" s="89"/>
    <row r="506" ht="15.75" customHeight="1" s="89"/>
    <row r="507" ht="15.75" customHeight="1" s="89"/>
    <row r="508" ht="15.75" customHeight="1" s="89"/>
    <row r="509" ht="15.75" customHeight="1" s="89"/>
    <row r="510" ht="15.75" customHeight="1" s="89"/>
    <row r="511" ht="15.75" customHeight="1" s="89"/>
    <row r="512" ht="15.75" customHeight="1" s="89"/>
    <row r="513" ht="15.75" customHeight="1" s="89"/>
    <row r="514" ht="15.75" customHeight="1" s="89"/>
    <row r="515" ht="15.75" customHeight="1" s="89"/>
    <row r="516" ht="15.75" customHeight="1" s="89"/>
    <row r="517" ht="15.75" customHeight="1" s="89"/>
    <row r="518" ht="15.75" customHeight="1" s="89"/>
    <row r="519" ht="15.75" customHeight="1" s="89"/>
    <row r="520" ht="15.75" customHeight="1" s="89"/>
    <row r="521" ht="15.75" customHeight="1" s="89"/>
    <row r="522" ht="15.75" customHeight="1" s="89"/>
    <row r="523" ht="15.75" customHeight="1" s="89"/>
    <row r="524" ht="15.75" customHeight="1" s="89"/>
    <row r="525" ht="15.75" customHeight="1" s="89"/>
    <row r="526" ht="15.75" customHeight="1" s="89"/>
    <row r="527" ht="15.75" customHeight="1" s="89"/>
    <row r="528" ht="15.75" customHeight="1" s="89"/>
    <row r="529" ht="15.75" customHeight="1" s="89"/>
    <row r="530" ht="15.75" customHeight="1" s="89"/>
    <row r="531" ht="15.75" customHeight="1" s="89"/>
    <row r="532" ht="15.75" customHeight="1" s="89"/>
    <row r="533" ht="15.75" customHeight="1" s="89"/>
    <row r="534" ht="15.75" customHeight="1" s="89"/>
    <row r="535" ht="15.75" customHeight="1" s="89"/>
    <row r="536" ht="15.75" customHeight="1" s="89"/>
    <row r="537" ht="15.75" customHeight="1" s="89"/>
    <row r="538" ht="15.75" customHeight="1" s="89"/>
    <row r="539" ht="15.75" customHeight="1" s="89"/>
    <row r="540" ht="15.75" customHeight="1" s="89"/>
    <row r="541" ht="15.75" customHeight="1" s="89"/>
    <row r="542" ht="15.75" customHeight="1" s="89"/>
    <row r="543" ht="15.75" customHeight="1" s="89"/>
    <row r="544" ht="15.75" customHeight="1" s="89"/>
    <row r="545" ht="15.75" customHeight="1" s="89"/>
    <row r="546" ht="15.75" customHeight="1" s="89"/>
    <row r="547" ht="15.75" customHeight="1" s="89"/>
    <row r="548" ht="15.75" customHeight="1" s="89"/>
    <row r="549" ht="15.75" customHeight="1" s="89"/>
    <row r="550" ht="15.75" customHeight="1" s="89"/>
    <row r="551" ht="15.75" customHeight="1" s="89"/>
    <row r="552" ht="15.75" customHeight="1" s="89"/>
    <row r="553" ht="15.75" customHeight="1" s="89"/>
    <row r="554" ht="15.75" customHeight="1" s="89"/>
    <row r="555" ht="15.75" customHeight="1" s="89"/>
    <row r="556" ht="15.75" customHeight="1" s="89"/>
    <row r="557" ht="15.75" customHeight="1" s="89"/>
    <row r="558" ht="15.75" customHeight="1" s="89"/>
    <row r="559" ht="15.75" customHeight="1" s="89"/>
    <row r="560" ht="15.75" customHeight="1" s="89"/>
    <row r="561" ht="15.75" customHeight="1" s="89"/>
    <row r="562" ht="15.75" customHeight="1" s="89"/>
    <row r="563" ht="15.75" customHeight="1" s="89"/>
    <row r="564" ht="15.75" customHeight="1" s="89"/>
    <row r="565" ht="15.75" customHeight="1" s="89"/>
    <row r="566" ht="15.75" customHeight="1" s="89"/>
    <row r="567" ht="15.75" customHeight="1" s="89"/>
    <row r="568" ht="15.75" customHeight="1" s="89"/>
    <row r="569" ht="15.75" customHeight="1" s="89"/>
    <row r="570" ht="15.75" customHeight="1" s="89"/>
    <row r="571" ht="15.75" customHeight="1" s="89"/>
    <row r="572" ht="15.75" customHeight="1" s="89"/>
    <row r="573" ht="15.75" customHeight="1" s="89"/>
    <row r="574" ht="15.75" customHeight="1" s="89"/>
    <row r="575" ht="15.75" customHeight="1" s="89"/>
    <row r="576" ht="15.75" customHeight="1" s="89"/>
    <row r="577" ht="15.75" customHeight="1" s="89"/>
    <row r="578" ht="15.75" customHeight="1" s="89"/>
    <row r="579" ht="15.75" customHeight="1" s="89"/>
    <row r="580" ht="15.75" customHeight="1" s="89"/>
    <row r="581" ht="15.75" customHeight="1" s="89"/>
    <row r="582" ht="15.75" customHeight="1" s="89"/>
    <row r="583" ht="15.75" customHeight="1" s="89"/>
    <row r="584" ht="15.75" customHeight="1" s="89"/>
    <row r="585" ht="15.75" customHeight="1" s="89"/>
    <row r="586" ht="15.75" customHeight="1" s="89"/>
    <row r="587" ht="15.75" customHeight="1" s="89"/>
    <row r="588" ht="15.75" customHeight="1" s="89"/>
    <row r="589" ht="15.75" customHeight="1" s="89"/>
    <row r="590" ht="15.75" customHeight="1" s="89"/>
    <row r="591" ht="15.75" customHeight="1" s="89"/>
    <row r="592" ht="15.75" customHeight="1" s="89"/>
    <row r="593" ht="15.75" customHeight="1" s="89"/>
    <row r="594" ht="15.75" customHeight="1" s="89"/>
    <row r="595" ht="15.75" customHeight="1" s="89"/>
    <row r="596" ht="15.75" customHeight="1" s="89"/>
    <row r="597" ht="15.75" customHeight="1" s="89"/>
    <row r="598" ht="15.75" customHeight="1" s="89"/>
    <row r="599" ht="15.75" customHeight="1" s="89"/>
    <row r="600" ht="15.75" customHeight="1" s="89"/>
    <row r="601" ht="15.75" customHeight="1" s="89"/>
    <row r="602" ht="15.75" customHeight="1" s="89"/>
    <row r="603" ht="15.75" customHeight="1" s="89"/>
    <row r="604" ht="15.75" customHeight="1" s="89"/>
    <row r="605" ht="15.75" customHeight="1" s="89"/>
    <row r="606" ht="15.75" customHeight="1" s="89"/>
    <row r="607" ht="15.75" customHeight="1" s="89"/>
    <row r="608" ht="15.75" customHeight="1" s="89"/>
    <row r="609" ht="15.75" customHeight="1" s="89"/>
    <row r="610" ht="15.75" customHeight="1" s="89"/>
    <row r="611" ht="15.75" customHeight="1" s="89"/>
    <row r="612" ht="15.75" customHeight="1" s="89"/>
    <row r="613" ht="15.75" customHeight="1" s="89"/>
    <row r="614" ht="15.75" customHeight="1" s="89"/>
    <row r="615" ht="15.75" customHeight="1" s="89"/>
    <row r="616" ht="15.75" customHeight="1" s="89"/>
    <row r="617" ht="15.75" customHeight="1" s="89"/>
    <row r="618" ht="15.75" customHeight="1" s="89"/>
    <row r="619" ht="15.75" customHeight="1" s="89"/>
    <row r="620" ht="15.75" customHeight="1" s="89"/>
    <row r="621" ht="15.75" customHeight="1" s="89"/>
    <row r="622" ht="15.75" customHeight="1" s="89"/>
    <row r="623" ht="15.75" customHeight="1" s="89"/>
    <row r="624" ht="15.75" customHeight="1" s="89"/>
    <row r="625" ht="15.75" customHeight="1" s="89"/>
    <row r="626" ht="15.75" customHeight="1" s="89"/>
    <row r="627" ht="15.75" customHeight="1" s="89"/>
    <row r="628" ht="15.75" customHeight="1" s="89"/>
    <row r="629" ht="15.75" customHeight="1" s="89"/>
    <row r="630" ht="15.75" customHeight="1" s="89"/>
    <row r="631" ht="15.75" customHeight="1" s="89"/>
    <row r="632" ht="15.75" customHeight="1" s="89"/>
    <row r="633" ht="15.75" customHeight="1" s="89"/>
    <row r="634" ht="15.75" customHeight="1" s="89"/>
    <row r="635" ht="15.75" customHeight="1" s="89"/>
    <row r="636" ht="15.75" customHeight="1" s="89"/>
    <row r="637" ht="15.75" customHeight="1" s="89"/>
    <row r="638" ht="15.75" customHeight="1" s="89"/>
    <row r="639" ht="15.75" customHeight="1" s="89"/>
    <row r="640" ht="15.75" customHeight="1" s="89"/>
    <row r="641" ht="15.75" customHeight="1" s="89"/>
    <row r="642" ht="15.75" customHeight="1" s="89"/>
    <row r="643" ht="15.75" customHeight="1" s="89"/>
    <row r="644" ht="15.75" customHeight="1" s="89"/>
    <row r="645" ht="15.75" customHeight="1" s="89"/>
    <row r="646" ht="15.75" customHeight="1" s="89"/>
    <row r="647" ht="15.75" customHeight="1" s="89"/>
    <row r="648" ht="15.75" customHeight="1" s="89"/>
    <row r="649" ht="15.75" customHeight="1" s="89"/>
    <row r="650" ht="15.75" customHeight="1" s="89"/>
    <row r="651" ht="15.75" customHeight="1" s="89"/>
    <row r="652" ht="15.75" customHeight="1" s="89"/>
    <row r="653" ht="15.75" customHeight="1" s="89"/>
    <row r="654" ht="15.75" customHeight="1" s="89"/>
    <row r="655" ht="15.75" customHeight="1" s="89"/>
    <row r="656" ht="15.75" customHeight="1" s="89"/>
    <row r="657" ht="15.75" customHeight="1" s="89"/>
    <row r="658" ht="15.75" customHeight="1" s="89"/>
    <row r="659" ht="15.75" customHeight="1" s="89"/>
    <row r="660" ht="15.75" customHeight="1" s="89"/>
    <row r="661" ht="15.75" customHeight="1" s="89"/>
    <row r="662" ht="15.75" customHeight="1" s="89"/>
    <row r="663" ht="15.75" customHeight="1" s="89"/>
    <row r="664" ht="15.75" customHeight="1" s="89"/>
    <row r="665" ht="15.75" customHeight="1" s="89"/>
    <row r="666" ht="15.75" customHeight="1" s="89"/>
    <row r="667" ht="15.75" customHeight="1" s="89"/>
    <row r="668" ht="15.75" customHeight="1" s="89"/>
    <row r="669" ht="15.75" customHeight="1" s="89"/>
    <row r="670" ht="15.75" customHeight="1" s="89"/>
    <row r="671" ht="15.75" customHeight="1" s="89"/>
    <row r="672" ht="15.75" customHeight="1" s="89"/>
    <row r="673" ht="15.75" customHeight="1" s="89"/>
    <row r="674" ht="15.75" customHeight="1" s="89"/>
    <row r="675" ht="15.75" customHeight="1" s="89"/>
    <row r="676" ht="15.75" customHeight="1" s="89"/>
    <row r="677" ht="15.75" customHeight="1" s="89"/>
    <row r="678" ht="15.75" customHeight="1" s="89"/>
    <row r="679" ht="15.75" customHeight="1" s="89"/>
    <row r="680" ht="15.75" customHeight="1" s="89"/>
    <row r="681" ht="15.75" customHeight="1" s="89"/>
    <row r="682" ht="15.75" customHeight="1" s="89"/>
    <row r="683" ht="15.75" customHeight="1" s="89"/>
    <row r="684" ht="15.75" customHeight="1" s="89"/>
    <row r="685" ht="15.75" customHeight="1" s="89"/>
    <row r="686" ht="15.75" customHeight="1" s="89"/>
    <row r="687" ht="15.75" customHeight="1" s="89"/>
    <row r="688" ht="15.75" customHeight="1" s="89"/>
    <row r="689" ht="15.75" customHeight="1" s="89"/>
    <row r="690" ht="15.75" customHeight="1" s="89"/>
    <row r="691" ht="15.75" customHeight="1" s="89"/>
    <row r="692" ht="15.75" customHeight="1" s="89"/>
    <row r="693" ht="15.75" customHeight="1" s="89"/>
    <row r="694" ht="15.75" customHeight="1" s="89"/>
    <row r="695" ht="15.75" customHeight="1" s="89"/>
    <row r="696" ht="15.75" customHeight="1" s="89"/>
    <row r="697" ht="15.75" customHeight="1" s="89"/>
    <row r="698" ht="15.75" customHeight="1" s="89"/>
    <row r="699" ht="15.75" customHeight="1" s="89"/>
    <row r="700" ht="15.75" customHeight="1" s="89"/>
    <row r="701" ht="15.75" customHeight="1" s="89"/>
    <row r="702" ht="15.75" customHeight="1" s="89"/>
    <row r="703" ht="15.75" customHeight="1" s="89"/>
    <row r="704" ht="15.75" customHeight="1" s="89"/>
    <row r="705" ht="15.75" customHeight="1" s="89"/>
    <row r="706" ht="15.75" customHeight="1" s="89"/>
    <row r="707" ht="15.75" customHeight="1" s="89"/>
    <row r="708" ht="15.75" customHeight="1" s="89"/>
    <row r="709" ht="15.75" customHeight="1" s="89"/>
    <row r="710" ht="15.75" customHeight="1" s="89"/>
    <row r="711" ht="15.75" customHeight="1" s="89"/>
    <row r="712" ht="15.75" customHeight="1" s="89"/>
    <row r="713" ht="15.75" customHeight="1" s="89"/>
    <row r="714" ht="15.75" customHeight="1" s="89"/>
    <row r="715" ht="15.75" customHeight="1" s="89"/>
    <row r="716" ht="15.75" customHeight="1" s="89"/>
    <row r="717" ht="15.75" customHeight="1" s="89"/>
    <row r="718" ht="15.75" customHeight="1" s="89"/>
    <row r="719" ht="15.75" customHeight="1" s="89"/>
    <row r="720" ht="15.75" customHeight="1" s="89"/>
    <row r="721" ht="15.75" customHeight="1" s="89"/>
    <row r="722" ht="15.75" customHeight="1" s="89"/>
    <row r="723" ht="15.75" customHeight="1" s="89"/>
    <row r="724" ht="15.75" customHeight="1" s="89"/>
    <row r="725" ht="15.75" customHeight="1" s="89"/>
    <row r="726" ht="15.75" customHeight="1" s="89"/>
    <row r="727" ht="15.75" customHeight="1" s="89"/>
    <row r="728" ht="15.75" customHeight="1" s="89"/>
    <row r="729" ht="15.75" customHeight="1" s="89"/>
    <row r="730" ht="15.75" customHeight="1" s="89"/>
    <row r="731" ht="15.75" customHeight="1" s="89"/>
    <row r="732" ht="15.75" customHeight="1" s="89"/>
    <row r="733" ht="15.75" customHeight="1" s="89"/>
    <row r="734" ht="15.75" customHeight="1" s="89"/>
    <row r="735" ht="15.75" customHeight="1" s="89"/>
    <row r="736" ht="15.75" customHeight="1" s="89"/>
    <row r="737" ht="15.75" customHeight="1" s="89"/>
    <row r="738" ht="15.75" customHeight="1" s="89"/>
    <row r="739" ht="15.75" customHeight="1" s="89"/>
    <row r="740" ht="15.75" customHeight="1" s="89"/>
    <row r="741" ht="15.75" customHeight="1" s="89"/>
    <row r="742" ht="15.75" customHeight="1" s="89"/>
    <row r="743" ht="15.75" customHeight="1" s="89"/>
    <row r="744" ht="15.75" customHeight="1" s="89"/>
    <row r="745" ht="15.75" customHeight="1" s="89"/>
    <row r="746" ht="15.75" customHeight="1" s="89"/>
    <row r="747" ht="15.75" customHeight="1" s="89"/>
    <row r="748" ht="15.75" customHeight="1" s="89"/>
    <row r="749" ht="15.75" customHeight="1" s="89"/>
    <row r="750" ht="15.75" customHeight="1" s="89"/>
    <row r="751" ht="15.75" customHeight="1" s="89"/>
    <row r="752" ht="15.75" customHeight="1" s="89"/>
    <row r="753" ht="15.75" customHeight="1" s="89"/>
    <row r="754" ht="15.75" customHeight="1" s="89"/>
    <row r="755" ht="15.75" customHeight="1" s="89"/>
    <row r="756" ht="15.75" customHeight="1" s="89"/>
    <row r="757" ht="15.75" customHeight="1" s="89"/>
    <row r="758" ht="15.75" customHeight="1" s="89"/>
    <row r="759" ht="15.75" customHeight="1" s="89"/>
    <row r="760" ht="15.75" customHeight="1" s="89"/>
    <row r="761" ht="15.75" customHeight="1" s="89"/>
    <row r="762" ht="15.75" customHeight="1" s="89"/>
    <row r="763" ht="15.75" customHeight="1" s="89"/>
    <row r="764" ht="15.75" customHeight="1" s="89"/>
    <row r="765" ht="15.75" customHeight="1" s="89"/>
    <row r="766" ht="15.75" customHeight="1" s="89"/>
    <row r="767" ht="15.75" customHeight="1" s="89"/>
    <row r="768" ht="15.75" customHeight="1" s="89"/>
    <row r="769" ht="15.75" customHeight="1" s="89"/>
    <row r="770" ht="15.75" customHeight="1" s="89"/>
    <row r="771" ht="15.75" customHeight="1" s="89"/>
    <row r="772" ht="15.75" customHeight="1" s="89"/>
    <row r="773" ht="15.75" customHeight="1" s="89"/>
    <row r="774" ht="15.75" customHeight="1" s="89"/>
    <row r="775" ht="15.75" customHeight="1" s="89"/>
    <row r="776" ht="15.75" customHeight="1" s="89"/>
    <row r="777" ht="15.75" customHeight="1" s="89"/>
    <row r="778" ht="15.75" customHeight="1" s="89"/>
    <row r="779" ht="15.75" customHeight="1" s="89"/>
    <row r="780" ht="15.75" customHeight="1" s="89"/>
    <row r="781" ht="15.75" customHeight="1" s="89"/>
    <row r="782" ht="15.75" customHeight="1" s="89"/>
    <row r="783" ht="15.75" customHeight="1" s="89"/>
    <row r="784" ht="15.75" customHeight="1" s="89"/>
    <row r="785" ht="15.75" customHeight="1" s="89"/>
    <row r="786" ht="15.75" customHeight="1" s="89"/>
    <row r="787" ht="15.75" customHeight="1" s="89"/>
    <row r="788" ht="15.75" customHeight="1" s="89"/>
    <row r="789" ht="15.75" customHeight="1" s="89"/>
    <row r="790" ht="15.75" customHeight="1" s="89"/>
    <row r="791" ht="15.75" customHeight="1" s="89"/>
    <row r="792" ht="15.75" customHeight="1" s="89"/>
    <row r="793" ht="15.75" customHeight="1" s="89"/>
    <row r="794" ht="15.75" customHeight="1" s="89"/>
    <row r="795" ht="15.75" customHeight="1" s="89"/>
    <row r="796" ht="15.75" customHeight="1" s="89"/>
    <row r="797" ht="15.75" customHeight="1" s="89"/>
    <row r="798" ht="15.75" customHeight="1" s="89"/>
    <row r="799" ht="15.75" customHeight="1" s="89"/>
    <row r="800" ht="15.75" customHeight="1" s="89"/>
    <row r="801" ht="15.75" customHeight="1" s="89"/>
    <row r="802" ht="15.75" customHeight="1" s="89"/>
    <row r="803" ht="15.75" customHeight="1" s="89"/>
    <row r="804" ht="15.75" customHeight="1" s="89"/>
    <row r="805" ht="15.75" customHeight="1" s="89"/>
    <row r="806" ht="15.75" customHeight="1" s="89"/>
    <row r="807" ht="15.75" customHeight="1" s="89"/>
    <row r="808" ht="15.75" customHeight="1" s="89"/>
    <row r="809" ht="15.75" customHeight="1" s="89"/>
    <row r="810" ht="15.75" customHeight="1" s="89"/>
    <row r="811" ht="15.75" customHeight="1" s="89"/>
    <row r="812" ht="15.75" customHeight="1" s="89"/>
    <row r="813" ht="15.75" customHeight="1" s="89"/>
    <row r="814" ht="15.75" customHeight="1" s="89"/>
    <row r="815" ht="15.75" customHeight="1" s="89"/>
    <row r="816" ht="15.75" customHeight="1" s="89"/>
    <row r="817" ht="15.75" customHeight="1" s="89"/>
    <row r="818" ht="15.75" customHeight="1" s="89"/>
    <row r="819" ht="15.75" customHeight="1" s="89"/>
    <row r="820" ht="15.75" customHeight="1" s="89"/>
    <row r="821" ht="15.75" customHeight="1" s="89"/>
    <row r="822" ht="15.75" customHeight="1" s="89"/>
    <row r="823" ht="15.75" customHeight="1" s="89"/>
    <row r="824" ht="15.75" customHeight="1" s="89"/>
    <row r="825" ht="15.75" customHeight="1" s="89"/>
    <row r="826" ht="15.75" customHeight="1" s="89"/>
    <row r="827" ht="15.75" customHeight="1" s="89"/>
    <row r="828" ht="15.75" customHeight="1" s="89"/>
    <row r="829" ht="15.75" customHeight="1" s="89"/>
    <row r="830" ht="15.75" customHeight="1" s="89"/>
    <row r="831" ht="15.75" customHeight="1" s="89"/>
    <row r="832" ht="15.75" customHeight="1" s="89"/>
    <row r="833" ht="15.75" customHeight="1" s="89"/>
    <row r="834" ht="15.75" customHeight="1" s="89"/>
    <row r="835" ht="15.75" customHeight="1" s="89"/>
    <row r="836" ht="15.75" customHeight="1" s="89"/>
    <row r="837" ht="15.75" customHeight="1" s="89"/>
    <row r="838" ht="15.75" customHeight="1" s="89"/>
    <row r="839" ht="15.75" customHeight="1" s="89"/>
    <row r="840" ht="15.75" customHeight="1" s="89"/>
    <row r="841" ht="15.75" customHeight="1" s="89"/>
    <row r="842" ht="15.75" customHeight="1" s="89"/>
    <row r="843" ht="15.75" customHeight="1" s="89"/>
    <row r="844" ht="15.75" customHeight="1" s="89"/>
    <row r="845" ht="15.75" customHeight="1" s="89"/>
    <row r="846" ht="15.75" customHeight="1" s="89"/>
    <row r="847" ht="15.75" customHeight="1" s="89"/>
    <row r="848" ht="15.75" customHeight="1" s="89"/>
    <row r="849" ht="15.75" customHeight="1" s="89"/>
    <row r="850" ht="15.75" customHeight="1" s="89"/>
    <row r="851" ht="15.75" customHeight="1" s="89"/>
    <row r="852" ht="15.75" customHeight="1" s="89"/>
    <row r="853" ht="15.75" customHeight="1" s="89"/>
    <row r="854" ht="15.75" customHeight="1" s="89"/>
    <row r="855" ht="15.75" customHeight="1" s="89"/>
    <row r="856" ht="15.75" customHeight="1" s="89"/>
    <row r="857" ht="15.75" customHeight="1" s="89"/>
    <row r="858" ht="15.75" customHeight="1" s="89"/>
    <row r="859" ht="15.75" customHeight="1" s="89"/>
    <row r="860" ht="15.75" customHeight="1" s="89"/>
    <row r="861" ht="15.75" customHeight="1" s="89"/>
    <row r="862" ht="15.75" customHeight="1" s="89"/>
    <row r="863" ht="15.75" customHeight="1" s="89"/>
    <row r="864" ht="15.75" customHeight="1" s="89"/>
    <row r="865" ht="15.75" customHeight="1" s="89"/>
    <row r="866" ht="15.75" customHeight="1" s="89"/>
    <row r="867" ht="15.75" customHeight="1" s="89"/>
    <row r="868" ht="15.75" customHeight="1" s="89"/>
    <row r="869" ht="15.75" customHeight="1" s="89"/>
    <row r="870" ht="15.75" customHeight="1" s="89"/>
    <row r="871" ht="15.75" customHeight="1" s="89"/>
    <row r="872" ht="15.75" customHeight="1" s="89"/>
    <row r="873" ht="15.75" customHeight="1" s="89"/>
    <row r="874" ht="15.75" customHeight="1" s="89"/>
    <row r="875" ht="15.75" customHeight="1" s="89"/>
    <row r="876" ht="15.75" customHeight="1" s="89"/>
    <row r="877" ht="15.75" customHeight="1" s="89"/>
    <row r="878" ht="15.75" customHeight="1" s="89"/>
    <row r="879" ht="15.75" customHeight="1" s="89"/>
    <row r="880" ht="15.75" customHeight="1" s="89"/>
    <row r="881" ht="15.75" customHeight="1" s="89"/>
    <row r="882" ht="15.75" customHeight="1" s="89"/>
    <row r="883" ht="15.75" customHeight="1" s="89"/>
    <row r="884" ht="15.75" customHeight="1" s="89"/>
    <row r="885" ht="15.75" customHeight="1" s="89"/>
    <row r="886" ht="15.75" customHeight="1" s="89"/>
    <row r="887" ht="15.75" customHeight="1" s="89"/>
    <row r="888" ht="15.75" customHeight="1" s="89"/>
    <row r="889" ht="15.75" customHeight="1" s="89"/>
    <row r="890" ht="15.75" customHeight="1" s="89"/>
    <row r="891" ht="15.75" customHeight="1" s="89"/>
    <row r="892" ht="15.75" customHeight="1" s="89"/>
    <row r="893" ht="15.75" customHeight="1" s="89"/>
    <row r="894" ht="15.75" customHeight="1" s="89"/>
    <row r="895" ht="15.75" customHeight="1" s="89"/>
    <row r="896" ht="15.75" customHeight="1" s="89"/>
    <row r="897" ht="15.75" customHeight="1" s="89"/>
    <row r="898" ht="15.75" customHeight="1" s="89"/>
    <row r="899" ht="15.75" customHeight="1" s="89"/>
    <row r="900" ht="15.75" customHeight="1" s="89"/>
    <row r="901" ht="15.75" customHeight="1" s="89"/>
    <row r="902" ht="15.75" customHeight="1" s="89"/>
    <row r="903" ht="15.75" customHeight="1" s="89"/>
    <row r="904" ht="15.75" customHeight="1" s="89"/>
    <row r="905" ht="15.75" customHeight="1" s="89"/>
    <row r="906" ht="15.75" customHeight="1" s="89"/>
    <row r="907" ht="15.75" customHeight="1" s="89"/>
    <row r="908" ht="15.75" customHeight="1" s="89"/>
    <row r="909" ht="15.75" customHeight="1" s="89"/>
    <row r="910" ht="15.75" customHeight="1" s="89"/>
    <row r="911" ht="15.75" customHeight="1" s="89"/>
    <row r="912" ht="15.75" customHeight="1" s="89"/>
    <row r="913" ht="15.75" customHeight="1" s="89"/>
    <row r="914" ht="15.75" customHeight="1" s="89"/>
    <row r="915" ht="15.75" customHeight="1" s="89"/>
    <row r="916" ht="15.75" customHeight="1" s="89"/>
    <row r="917" ht="15.75" customHeight="1" s="89"/>
    <row r="918" ht="15.75" customHeight="1" s="89"/>
    <row r="919" ht="15.75" customHeight="1" s="89"/>
    <row r="920" ht="15.75" customHeight="1" s="89"/>
    <row r="921" ht="15.75" customHeight="1" s="89"/>
    <row r="922" ht="15.75" customHeight="1" s="89"/>
    <row r="923" ht="15.75" customHeight="1" s="89"/>
    <row r="924" ht="15.75" customHeight="1" s="89"/>
    <row r="925" ht="15.75" customHeight="1" s="89"/>
    <row r="926" ht="15.75" customHeight="1" s="89"/>
    <row r="927" ht="15.75" customHeight="1" s="89"/>
    <row r="928" ht="15.75" customHeight="1" s="89"/>
    <row r="929" ht="15.75" customHeight="1" s="89"/>
    <row r="930" ht="15.75" customHeight="1" s="89"/>
    <row r="931" ht="15.75" customHeight="1" s="89"/>
    <row r="932" ht="15.75" customHeight="1" s="89"/>
    <row r="933" ht="15.75" customHeight="1" s="89"/>
    <row r="934" ht="15.75" customHeight="1" s="89"/>
    <row r="935" ht="15.75" customHeight="1" s="89"/>
    <row r="936" ht="15.75" customHeight="1" s="89"/>
    <row r="937" ht="15.75" customHeight="1" s="89"/>
    <row r="938" ht="15.75" customHeight="1" s="89"/>
    <row r="939" ht="15.75" customHeight="1" s="89"/>
    <row r="940" ht="15.75" customHeight="1" s="89"/>
    <row r="941" ht="15.75" customHeight="1" s="89"/>
    <row r="942" ht="15.75" customHeight="1" s="89"/>
    <row r="943" ht="15.75" customHeight="1" s="89"/>
    <row r="944" ht="15.75" customHeight="1" s="89"/>
    <row r="945" ht="15.75" customHeight="1" s="89"/>
    <row r="946" ht="15.75" customHeight="1" s="89"/>
    <row r="947" ht="15.75" customHeight="1" s="89"/>
    <row r="948" ht="15.75" customHeight="1" s="89"/>
    <row r="949" ht="15.75" customHeight="1" s="89"/>
    <row r="950" ht="15.75" customHeight="1" s="89"/>
    <row r="951" ht="15.75" customHeight="1" s="89"/>
    <row r="952" ht="15.75" customHeight="1" s="89"/>
    <row r="953" ht="15.75" customHeight="1" s="89"/>
    <row r="954" ht="15.75" customHeight="1" s="89"/>
    <row r="955" ht="15.75" customHeight="1" s="89"/>
    <row r="956" ht="15.75" customHeight="1" s="89"/>
    <row r="957" ht="15.75" customHeight="1" s="89"/>
    <row r="958" ht="15.75" customHeight="1" s="89"/>
    <row r="959" ht="15.75" customHeight="1" s="89"/>
    <row r="960" ht="15.75" customHeight="1" s="89"/>
    <row r="961" ht="15.75" customHeight="1" s="89"/>
    <row r="962" ht="15.75" customHeight="1" s="89"/>
    <row r="963" ht="15.75" customHeight="1" s="89"/>
    <row r="964" ht="15.75" customHeight="1" s="89"/>
    <row r="965" ht="15.75" customHeight="1" s="89"/>
    <row r="966" ht="15.75" customHeight="1" s="89"/>
    <row r="967" ht="15.75" customHeight="1" s="89"/>
    <row r="968" ht="15.75" customHeight="1" s="89"/>
    <row r="969" ht="15.75" customHeight="1" s="89"/>
    <row r="970" ht="15.75" customHeight="1" s="89"/>
    <row r="971" ht="15.75" customHeight="1" s="89"/>
    <row r="972" ht="15.75" customHeight="1" s="89"/>
    <row r="973" ht="15.75" customHeight="1" s="89"/>
    <row r="974" ht="15.75" customHeight="1" s="89"/>
    <row r="975" ht="15.75" customHeight="1" s="89"/>
    <row r="976" ht="15.75" customHeight="1" s="89"/>
    <row r="977" ht="15.75" customHeight="1" s="89"/>
    <row r="978" ht="15.75" customHeight="1" s="89"/>
    <row r="979" ht="15.75" customHeight="1" s="89"/>
    <row r="980" ht="15.75" customHeight="1" s="89"/>
    <row r="981" ht="15.75" customHeight="1" s="89"/>
    <row r="982" ht="15.75" customHeight="1" s="89"/>
    <row r="983" ht="15.75" customHeight="1" s="89"/>
    <row r="984" ht="15.75" customHeight="1" s="89"/>
    <row r="985" ht="15.75" customHeight="1" s="89"/>
    <row r="986" ht="15.75" customHeight="1" s="89"/>
    <row r="987" ht="15.75" customHeight="1" s="89"/>
    <row r="988" ht="15.75" customHeight="1" s="89"/>
    <row r="989" ht="15.75" customHeight="1" s="89"/>
    <row r="990" ht="15.75" customHeight="1" s="89"/>
    <row r="991" ht="15.75" customHeight="1" s="89"/>
    <row r="992" ht="15.75" customHeight="1" s="89"/>
    <row r="993" ht="15.75" customHeight="1" s="89"/>
    <row r="994" ht="15.75" customHeight="1" s="89"/>
    <row r="995" ht="15.75" customHeight="1" s="89"/>
    <row r="996" ht="15.75" customHeight="1" s="89"/>
    <row r="997" ht="15.75" customHeight="1" s="89"/>
    <row r="998" ht="15.75" customHeight="1" s="89"/>
    <row r="999" ht="15.75" customHeight="1" s="89"/>
    <row r="1000" ht="15.75" customHeight="1" s="89"/>
  </sheetData>
  <mergeCells count="8">
    <mergeCell ref="A2:F2"/>
    <mergeCell ref="B17:E17"/>
    <mergeCell ref="B13:E13"/>
    <mergeCell ref="B16:E16"/>
    <mergeCell ref="B15:E15"/>
    <mergeCell ref="A12:F12"/>
    <mergeCell ref="A3:F3"/>
    <mergeCell ref="B14:E14"/>
  </mergeCells>
  <conditionalFormatting sqref="F13:F17">
    <cfRule type="containsText" priority="1" operator="containsText" dxfId="7" text="Đã xác nhận">
      <formula>NOT(ISERROR(SEARCH(("Đã xác nhận"),(F13))))</formula>
    </cfRule>
  </conditionalFormatting>
  <dataValidations count="1">
    <dataValidation sqref="F13:F17" showDropDown="0" showInputMessage="0" showErrorMessage="0" allowBlank="1" type="list">
      <formula1>"Chưa xác nhận,Đã xác nhận"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3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6.88" customWidth="1" style="89" min="1" max="1"/>
    <col width="13.25" customWidth="1" style="89" min="2" max="2"/>
    <col width="25.75" customWidth="1" style="89" min="3" max="3"/>
    <col width="45.13" customWidth="1" style="89" min="4" max="4"/>
    <col width="51.38" customWidth="1" style="89" min="5" max="5"/>
    <col width="42.63" customWidth="1" style="89" min="6" max="6"/>
    <col width="32" customWidth="1" style="89" min="7" max="7"/>
  </cols>
  <sheetData>
    <row r="1" ht="33" customHeight="1" s="89">
      <c r="A1" s="83" t="inlineStr">
        <is>
          <t>VAI TRÒ VÀ TRÁCH NHIỆM THÀNH VIÊN</t>
        </is>
      </c>
    </row>
    <row r="2" ht="22.5" customHeight="1" s="89">
      <c r="A2" s="84" t="inlineStr">
        <is>
          <t>Dự án TMĐT • Tuần 1 • 8 đầu mối gồm PM và 7 Lead</t>
        </is>
      </c>
    </row>
    <row r="3" ht="40.5" customHeight="1" s="89">
      <c r="A3" s="85" t="n"/>
    </row>
    <row r="5" ht="31.5" customHeight="1" s="89">
      <c r="A5" s="44" t="inlineStr">
        <is>
          <t>STT</t>
        </is>
      </c>
      <c r="B5" s="44" t="inlineStr">
        <is>
          <t>Thành viên</t>
        </is>
      </c>
      <c r="C5" s="44" t="inlineStr">
        <is>
          <t>Vai trò</t>
        </is>
      </c>
      <c r="D5" s="44" t="inlineStr">
        <is>
          <t>Trách nhiệm chính</t>
        </is>
      </c>
      <c r="E5" s="44" t="inlineStr">
        <is>
          <t>Nhiệm vụ Tuần 1</t>
        </is>
      </c>
      <c r="F5" s="44" t="inlineStr">
        <is>
          <t>Đầu ra bàn giao</t>
        </is>
      </c>
      <c r="G5" s="44" t="inlineStr">
        <is>
          <t>Phối hợp chính</t>
        </is>
      </c>
    </row>
    <row r="6" ht="94.5" customHeight="1" s="89">
      <c r="A6" s="86" t="inlineStr">
        <is>
          <t>1</t>
        </is>
      </c>
      <c r="B6" s="87" t="inlineStr">
        <is>
          <t>Hưng</t>
        </is>
      </c>
      <c r="C6" s="87" t="inlineStr">
        <is>
          <t>Operations Lead</t>
        </is>
      </c>
      <c r="D6" s="88" t="inlineStr">
        <is>
          <t>Thiết kế và theo dõi vận hành: nguồn hàng, tồn kho, đóng gói, giao nhận, xử lý đơn và phản hồi sau bán. Chịu trách nhiệm tính khả thi vận hành trong ngân sách 500.000 đồng.</t>
        </is>
      </c>
      <c r="E6" s="88" t="inlineStr">
        <is>
          <t>Khảo sát nguồn hàng và cách đóng gói/giao hàng; viết checklist vận hành và kiểm soát tồn; rà soát stakeholder liên quan nhà cung cấp, đơn vị giao hàng; hỗ trợ tạo kho minh chứng. Liên quan BT1, BT4, BT5, BT8.</t>
        </is>
      </c>
      <c r="F6" s="88" t="inlineStr">
        <is>
          <t>Danh sách nguồn hàng; quy trình nhận đơn → xác nhận → đóng gói → giao → phản hồi; checklist tồn kho/giao nhận; thông tin stakeholder vận hành.</t>
        </is>
      </c>
      <c r="G6" s="88" t="inlineStr">
        <is>
          <t>Nam (Sales), Bằng (giá vốn), Phong (tài liệu), Nghĩa (PM)</t>
        </is>
      </c>
    </row>
    <row r="7" ht="94.5" customHeight="1" s="89">
      <c r="A7" s="86" t="inlineStr">
        <is>
          <t>2</t>
        </is>
      </c>
      <c r="B7" s="87" t="inlineStr">
        <is>
          <t>Phong</t>
        </is>
      </c>
      <c r="C7" s="87" t="inlineStr">
        <is>
          <t>Communication &amp; Documentation Lead (CD)</t>
        </is>
      </c>
      <c r="D7" s="88" t="inlineStr">
        <is>
          <t>Chuẩn hóa, tổng hợp và lưu trữ tài liệu; điều phối thông tin nội bộ và đối ngoại; ghi biên bản họp, quản lý phiên bản và đường dẫn minh chứng.</t>
        </is>
      </c>
      <c r="E7" s="88" t="inlineStr">
        <is>
          <t>Soạn Project Charter từ đầu vào các Lead; lập Stakeholder Register; viết Team Charter; chuẩn hóa task/evidence; tạo cấu trúc Drive; tổng hợp Week 1 Summary và file Word nộp. Liên quan BT2, BT3, BT5, BT6, BT7, BT8, BT9.</t>
        </is>
      </c>
      <c r="F7" s="88" t="inlineStr">
        <is>
          <t>Project Charter; Stakeholder Register; Team Charter; kho Drive có quy tắc đặt tên; Week 1 Summary; 01 file Word tổng hợp và link minh chứng.</t>
        </is>
      </c>
      <c r="G7" s="88" t="inlineStr">
        <is>
          <t>Nghĩa (PM), Đạt (QA), tất cả Lead</t>
        </is>
      </c>
    </row>
    <row r="8" ht="94.5" customHeight="1" s="89">
      <c r="A8" s="86" t="inlineStr">
        <is>
          <t>3</t>
        </is>
      </c>
      <c r="B8" s="87" t="inlineStr">
        <is>
          <t>Nam</t>
        </is>
      </c>
      <c r="C8" s="87" t="inlineStr">
        <is>
          <t>Sales Lead (SO/Sales)</t>
        </is>
      </c>
      <c r="D8" s="88" t="inlineStr">
        <is>
          <t>Phụ trách kênh bán, tư vấn và chốt đơn, hành trình khách hàng, thanh toán, chăm sóc khách hàng và ghi nhận phản hồi/doanh số; phối hợp Operations ở khâu giao hàng.</t>
        </is>
      </c>
      <c r="E8" s="88" t="inlineStr">
        <is>
          <t>Góp ý nhu cầu khách hàng và khả năng bán 2 ý tưởng; thiết kế kênh bán, luồng nhận đơn, thanh toán, CSKH; đề xuất mục tiêu bán và cách ghi nhận doanh số. Liên quan BT1, BT2, BT4.</t>
        </is>
      </c>
      <c r="F8" s="88" t="inlineStr">
        <is>
          <t>Sales flow/customer journey; kênh bán đề xuất; quy trình nhận/chốt đơn và CSKH; chỉ tiêu bán sơ bộ.</t>
        </is>
      </c>
      <c r="G8" s="88" t="inlineStr">
        <is>
          <t>Huy (khách hàng), Bằng (giá), Hưng (thực hiện đơn), Danh (nội dung)</t>
        </is>
      </c>
    </row>
    <row r="9" ht="94.5" customHeight="1" s="89">
      <c r="A9" s="86" t="inlineStr">
        <is>
          <t>4</t>
        </is>
      </c>
      <c r="B9" s="87" t="inlineStr">
        <is>
          <t>Đạt</t>
        </is>
      </c>
      <c r="C9" s="87" t="inlineStr">
        <is>
          <t>Evaluation &amp; Optimization Lead (EO)</t>
        </is>
      </c>
      <c r="D9" s="88" t="inlineStr">
        <is>
          <t>Định nghĩa KPI, theo dõi tiến độ và hiệu quả, kiểm tra chất lượng số liệu/minh chứng, phân tích rủi ro và đề xuất cải tiến.</t>
        </is>
      </c>
      <c r="E9" s="88" t="inlineStr">
        <is>
          <t>Thiết lập KPI và cách đo; góp ý ngân sách/rủi ro Project Charter; cấu trúc Task Board và tiêu chí hoàn thành; QA Team Charter, link minh chứng và hồ sơ trước khi nộp. Liên quan BT1, BT3, BT4, BT6, BT7, BT8, BT9.</t>
        </is>
      </c>
      <c r="F9" s="88" t="inlineStr">
        <is>
          <t>Bộ KPI và tiêu chí đánh giá; Task Board có owner/deadline/trạng thái; checklist QA; danh sách lỗi và đề xuất sửa.</t>
        </is>
      </c>
      <c r="G9" s="88" t="inlineStr">
        <is>
          <t>Nghĩa (PM), Bằng (định giá), Phong (hồ sơ), các Lead</t>
        </is>
      </c>
    </row>
    <row r="10" ht="94.5" customHeight="1" s="89">
      <c r="A10" s="86" t="inlineStr">
        <is>
          <t>5</t>
        </is>
      </c>
      <c r="B10" s="87" t="inlineStr">
        <is>
          <t>Bằng</t>
        </is>
      </c>
      <c r="C10" s="87" t="inlineStr">
        <is>
          <t>Product &amp; Pricing Lead (PP)</t>
        </is>
      </c>
      <c r="D10" s="88" t="inlineStr">
        <is>
          <t>Chọn danh mục sản phẩm, định vị USP, khảo sát giá vốn/giá bán và xây chiến lược giá phù hợp mục tiêu doanh thu, ngân sách.</t>
        </is>
      </c>
      <c r="E10" s="88" t="inlineStr">
        <is>
          <t>Tìm 2 phương án sản phẩm và nguồn hàng; tính giá vốn, giá bán, biên lợi nhuận và khả năng triển khai với 500.000 đồng; chốt sản phẩm/USP và ngân sách sơ bộ. Liên quan BT1, BT4.</t>
        </is>
      </c>
      <c r="F10" s="88" t="inlineStr">
        <is>
          <t>Bảng so sánh sản phẩm; danh sách nguồn hàng/giá; bảng định giá, chi phí và lãi/lỗ sơ bộ; USP.</t>
        </is>
      </c>
      <c r="G10" s="88" t="inlineStr">
        <is>
          <t>Huy (nhu cầu), Nam (khả năng bán), Hưng (vận hành), Đạt (kiểm tra số liệu)</t>
        </is>
      </c>
    </row>
    <row r="11" ht="94.5" customHeight="1" s="89">
      <c r="A11" s="86" t="inlineStr">
        <is>
          <t>6</t>
        </is>
      </c>
      <c r="B11" s="87" t="inlineStr">
        <is>
          <t>Danh</t>
        </is>
      </c>
      <c r="C11" s="87" t="inlineStr">
        <is>
          <t>Content &amp; Creative Lead (CC)</t>
        </is>
      </c>
      <c r="D11" s="88" t="inlineStr">
        <is>
          <t>Lên ý tưởng marketing và sản xuất nội dung bài viết, hình ảnh, video/caption; giữ thông điệp và hình ảnh thương hiệu nhất quán.</t>
        </is>
      </c>
      <c r="E11" s="88" t="inlineStr">
        <is>
          <t>Khảo sát đối thủ và nội dung trên Facebook/TikTok; đề xuất thông điệp, kênh và lịch truyền thông; phác thảo nội dung bán hàng và marketing plan. Liên quan BT2, BT4.</t>
        </is>
      </c>
      <c r="F11" s="88" t="inlineStr">
        <is>
          <t>Bảng quan sát nội dung đối thủ; chân dung thông điệp; kế hoạch marketing sơ bộ; concept, caption hoặc mẫu nội dung.</t>
        </is>
      </c>
      <c r="G11" s="88" t="inlineStr">
        <is>
          <t>Huy (insight), Nam (kênh bán), Bằng (USP/giá), Hưng (khả năng thực hiện)</t>
        </is>
      </c>
    </row>
    <row r="12" ht="94.5" customHeight="1" s="89">
      <c r="A12" s="86" t="inlineStr">
        <is>
          <t>7</t>
        </is>
      </c>
      <c r="B12" s="87" t="inlineStr">
        <is>
          <t>Huy</t>
        </is>
      </c>
      <c r="C12" s="87" t="inlineStr">
        <is>
          <t>Market Research Lead (MR)</t>
        </is>
      </c>
      <c r="D12" s="88" t="inlineStr">
        <is>
          <t>Thu thập dữ liệu thị trường; phân tích khách hàng, nhu cầu, đối thủ và xu hướng; cung cấp bằng chứng cho quyết định chọn sản phẩm.</t>
        </is>
      </c>
      <c r="E12" s="88" t="inlineStr">
        <is>
          <t>Tổng hợp và so sánh tối thiểu 2 ý tưởng; xác định khách hàng mục tiêu; khảo sát/phỏng vấn, so sánh đối thủ và giá thị trường; tổng hợp bằng chứng nhu cầu. Liên quan BT1, BT2.</t>
        </is>
      </c>
      <c r="F12" s="88" t="inlineStr">
        <is>
          <t>Bảng nghiên cứu 2 ý tưởng; customer profile; dữ liệu khảo sát; bảng đối thủ; insight và nguồn chứng minh nhu cầu.</t>
        </is>
      </c>
      <c r="G12" s="88" t="inlineStr">
        <is>
          <t>Bằng (sản phẩm/giá), Nam (bán hàng), Danh (social listening), Đạt (kiểm chứng)</t>
        </is>
      </c>
    </row>
    <row r="13" ht="94.5" customHeight="1" s="89">
      <c r="A13" s="86" t="inlineStr">
        <is>
          <t>8</t>
        </is>
      </c>
      <c r="B13" s="87" t="inlineStr">
        <is>
          <t>Nghĩa</t>
        </is>
      </c>
      <c r="C13" s="87" t="inlineStr">
        <is>
          <t>Project Manager (PM)</t>
        </is>
      </c>
      <c r="D13" s="88" t="inlineStr">
        <is>
          <t>Điều phối toàn dự án; phân công, kiểm soát tiến độ/chất lượng/ngân sách, quyết định ưu tiên và phê duyệt đầu ra trước khi nộp.</t>
        </is>
      </c>
      <c r="E13" s="88" t="inlineStr">
        <is>
          <t>Chốt ý tưởng sau khi xem bằng chứng; điều phối và duyệt Project Charter, Team Charter, Task Board, timeline; theo dõi deadline từng Lead; review cuối hồ sơ Tuần 1 và quyết định nộp. Liên quan BT1, BT3, BT6, BT7, BT9.</t>
        </is>
      </c>
      <c r="F13" s="88" t="inlineStr">
        <is>
          <t>Quyết định chọn sản phẩm; phân công và timeline; Project Charter đã duyệt; Task Board; hồ sơ Tuần 1 được kiểm tra và chốt nộp.</t>
        </is>
      </c>
      <c r="G13" s="88" t="inlineStr">
        <is>
          <t>Tất cả Lead; Phong tổng hợp hồ sơ; Đạt kiểm tra chất lượng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89" min="1" max="1"/>
    <col width="130" customWidth="1" style="89" min="2" max="2"/>
  </cols>
  <sheetData>
    <row r="1" ht="36" customHeight="1" s="89">
      <c r="A1" s="97" t="inlineStr">
        <is>
          <t>Mục</t>
        </is>
      </c>
      <c r="B1" s="97" t="inlineStr">
        <is>
          <t>Nội dung</t>
        </is>
      </c>
    </row>
    <row r="2" ht="85" customHeight="1" s="89">
      <c r="A2" s="98" t="inlineStr">
        <is>
          <t>Phạm vi bản làm việc</t>
        </is>
      </c>
      <c r="B2" s="98" t="inlineStr">
        <is>
          <t>Dùng dữ kiện người dùng cung cấp và yêu cầu được ghi trong file nguồn. Chưa đủ để chốt bài nộp.</t>
        </is>
      </c>
    </row>
    <row r="3" ht="85" customHeight="1" s="89">
      <c r="A3" s="99" t="inlineStr">
        <is>
          <t>Đã xác nhận mới</t>
        </is>
      </c>
      <c r="B3" s="99" t="inlineStr">
        <is>
          <t>Phong xác nhận nhóm có 8 người. Câu trả lời “ok” chưa cung cấp số liệu thị trường, bán hàng hay thu chi.</t>
        </is>
      </c>
    </row>
    <row r="4" ht="85" customHeight="1" s="89">
      <c r="A4" s="98" t="inlineStr">
        <is>
          <t>Số nhóm đưa ra</t>
        </is>
      </c>
      <c r="B4" s="98" t="inlineStr">
        <is>
          <t>Mức giá/vốn trong ý tưởng giữ riêng tại tab CD_Số nhóm đã nêu, ghi đúng là đề xuất chưa xác minh; không tự nâng thành số thực.</t>
        </is>
      </c>
    </row>
    <row r="5" ht="85" customHeight="1" s="89">
      <c r="A5" s="99" t="inlineStr">
        <is>
          <t>Không tự bổ sung số</t>
        </is>
      </c>
      <c r="B5" s="99" t="inlineStr">
        <is>
          <t>Không có sản lượng, cơ cấu đơn, giá bình quân, chi phí chung, lợi nhuận dự báo, ngày khởi động/kết thúc, tỷ lệ KPI hoặc SLA do trợ lý tự đặt.</t>
        </is>
      </c>
    </row>
    <row r="6" ht="85" customHeight="1" s="89">
      <c r="A6" s="98" t="inlineStr">
        <is>
          <t>Phần còn thiếu</t>
        </is>
      </c>
      <c r="B6" s="98" t="inlineStr">
        <is>
          <t>Giữ trống ô dữ liệu thực hoặc ghi “chưa được cung cấp”. Không suy ra nhóm chưa làm, không tự điền 0.</t>
        </is>
      </c>
    </row>
    <row r="7" ht="85" customHeight="1" s="89">
      <c r="A7" s="99" t="inlineStr">
        <is>
          <t>Tab gốc</t>
        </is>
      </c>
      <c r="B7" s="99" t="inlineStr">
        <is>
          <t>Giữ nguyên cả 3 tab và trạng thái như file tải lên; trạng thái chép từ nguồn chưa được xác nhận là hiện trạng.</t>
        </is>
      </c>
    </row>
    <row r="8" ht="85" customHeight="1" s="89">
      <c r="A8" s="98" t="inlineStr">
        <is>
          <t>Trình tự cùng hoàn thiện</t>
        </is>
      </c>
      <c r="B8" s="98" t="inlineStr">
        <is>
          <t>Nhận đề/mẫu và thông tin chốt → nhận đầu ra thật → soạn từng mục CD → Phong/Lead kiểm tra → PM duyệt theo quy trình thật.</t>
        </is>
      </c>
    </row>
    <row r="9" ht="85" customHeight="1" s="89">
      <c r="A9" s="99" t="inlineStr">
        <is>
          <t>Phiên bản trước</t>
        </is>
      </c>
      <c r="B9" s="99" t="inlineStr">
        <is>
          <t>Không dùng các số do trợ lý tự bổ sung ở v0.9 trong bài. Tab CD_Nội dung đã gỡ liệt kê rõ.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89" min="1" max="1"/>
    <col width="95" customWidth="1" style="89" min="2" max="2"/>
    <col width="65" customWidth="1" style="89" min="3" max="3"/>
    <col width="100" customWidth="1" style="89" min="4" max="4"/>
  </cols>
  <sheetData>
    <row r="1" ht="36" customHeight="1" s="89">
      <c r="A1" s="97" t="inlineStr">
        <is>
          <t>Thông tin</t>
        </is>
      </c>
      <c r="B1" s="97" t="inlineStr">
        <is>
          <t>Nội dung</t>
        </is>
      </c>
      <c r="C1" s="97" t="inlineStr">
        <is>
          <t>Nguồn</t>
        </is>
      </c>
      <c r="D1" s="97" t="inlineStr">
        <is>
          <t>Giới hạn / xác nhận</t>
        </is>
      </c>
    </row>
    <row r="2" ht="85" customHeight="1" s="89">
      <c r="A2" s="98" t="inlineStr">
        <is>
          <t>Tên dự án</t>
        </is>
      </c>
      <c r="B2" s="98" t="inlineStr">
        <is>
          <t>“Chung một nhịp” – Vòng tay hạt chữ cá nhân hóa cho nhóm bạn</t>
        </is>
      </c>
      <c r="C2" s="98" t="inlineStr">
        <is>
          <t>Tin nhắn ý tưởng của Phong</t>
        </is>
      </c>
      <c r="D2" s="98" t="inlineStr">
        <is>
          <t>Ý tưởng nhóm cung cấp; không tự suy ra đã được PM phê duyệt.</t>
        </is>
      </c>
    </row>
    <row r="3" ht="85" customHeight="1" s="89">
      <c r="A3" s="99" t="inlineStr">
        <is>
          <t>Người phụ trách CD</t>
        </is>
      </c>
      <c r="B3" s="99" t="inlineStr">
        <is>
          <t>Phong</t>
        </is>
      </c>
      <c r="C3" s="99" t="inlineStr">
        <is>
          <t>Phong tự xác nhận trong yêu cầu</t>
        </is>
      </c>
      <c r="D3" s="99" t="inlineStr">
        <is>
          <t>Đã được người dùng xác nhận.</t>
        </is>
      </c>
    </row>
    <row r="4" ht="85" customHeight="1" s="89">
      <c r="A4" s="98" t="inlineStr">
        <is>
          <t>Số thành viên</t>
        </is>
      </c>
      <c r="B4" s="98" t="n">
        <v>8</v>
      </c>
      <c r="C4" s="98" t="inlineStr">
        <is>
          <t>Phong trả lời “8 người” ở lượt hiện tại</t>
        </is>
      </c>
      <c r="D4" s="98" t="inlineStr">
        <is>
          <t>Đã được người dùng xác nhận số lượng. Chưa đồng nghĩa mọi người đã xác nhận trách nhiệm.</t>
        </is>
      </c>
    </row>
    <row r="5" ht="85" customHeight="1" s="89">
      <c r="A5" s="99" t="inlineStr">
        <is>
          <t>Danh sách và vai trò</t>
        </is>
      </c>
      <c r="B5" s="99" t="inlineStr">
        <is>
          <t>Nghĩa–PM; Phong–CD; Huy–MR; Bằng–PP; Danh–CC; Nam–Sales; Hưng–Operations; Đạt–EO</t>
        </is>
      </c>
      <c r="C5" s="99" t="inlineStr">
        <is>
          <t>Tab Vai trò thành viên, hàng 6–13</t>
        </is>
      </c>
      <c r="D5" s="99" t="inlineStr">
        <is>
          <t>Chép từ file phân công; chưa có biên bản xác nhận từng người.</t>
        </is>
      </c>
    </row>
    <row r="6" ht="85" customHeight="1" s="89">
      <c r="A6" s="98" t="inlineStr">
        <is>
          <t>Địa bàn</t>
        </is>
      </c>
      <c r="B6" s="98" t="inlineStr">
        <is>
          <t>TP.HCM</t>
        </is>
      </c>
      <c r="C6" s="98" t="inlineStr">
        <is>
          <t>Thông tin Phong cung cấp</t>
        </is>
      </c>
      <c r="D6" s="98" t="inlineStr">
        <is>
          <t>Bối cảnh nhóm; không suy ra có quyền bán trong một trường cụ thể.</t>
        </is>
      </c>
    </row>
    <row r="7" ht="85" customHeight="1" s="89">
      <c r="A7" s="99" t="inlineStr">
        <is>
          <t>Khách hàng dự kiến</t>
        </is>
      </c>
      <c r="B7" s="99" t="inlineStr">
        <is>
          <t>Học sinh/sinh viên 16–24 tuổi; nhóm bạn, cặp đôi, lớp/CLB</t>
        </is>
      </c>
      <c r="C7" s="99" t="inlineStr">
        <is>
          <t>Mô tả ý tưởng của nhóm</t>
        </is>
      </c>
      <c r="D7" s="99" t="inlineStr">
        <is>
          <t>Phân khúc dự kiến; chưa có dữ liệu kiểm chứng nhu cầu được cung cấp.</t>
        </is>
      </c>
    </row>
    <row r="8" ht="85" customHeight="1" s="89">
      <c r="A8" s="98" t="inlineStr">
        <is>
          <t>Thời lượng dự án</t>
        </is>
      </c>
      <c r="B8" s="98" t="inlineStr">
        <is>
          <t>8 tuần</t>
        </is>
      </c>
      <c r="C8" s="98" t="inlineStr">
        <is>
          <t>Yêu cầu của Phong và bảng công việc</t>
        </is>
      </c>
      <c r="D8" s="98" t="inlineStr">
        <is>
          <t>Chưa có xác nhận ngày bắt đầu/kết thúc cả dự án; không tự đặt lịch.</t>
        </is>
      </c>
    </row>
    <row r="9" ht="85" customHeight="1" s="89">
      <c r="A9" s="99" t="inlineStr">
        <is>
          <t>Hạn tuần 1</t>
        </is>
      </c>
      <c r="B9" s="99" t="inlineStr">
        <is>
          <t>Hạn nội bộ 21/10; nộp 22/10/2026</t>
        </is>
      </c>
      <c r="C9" s="99" t="inlineStr">
        <is>
          <t>Tab Công việc Tuần 1, A3; các hạn chi tiết ở cột J</t>
        </is>
      </c>
      <c r="D9" s="99" t="inlineStr">
        <is>
          <t>Là hạn trong file, chưa thay cho thông báo gốc nếu có điều chỉnh.</t>
        </is>
      </c>
    </row>
    <row r="10" ht="85" customHeight="1" s="89">
      <c r="A10" s="98" t="inlineStr">
        <is>
          <t>Vốn ban đầu tối đa</t>
        </is>
      </c>
      <c r="B10" s="98" t="inlineStr">
        <is>
          <t>500.000đ</t>
        </is>
      </c>
      <c r="C10" s="98" t="inlineStr">
        <is>
          <t>Yêu cầu dự án và mô tả của nhóm</t>
        </is>
      </c>
      <c r="D10" s="98" t="inlineStr">
        <is>
          <t>Là hạn mức; chưa có xác nhận đã góp, đã chi hoặc tiền đang giữ.</t>
        </is>
      </c>
    </row>
    <row r="11" ht="85" customHeight="1" s="89">
      <c r="A11" s="99" t="inlineStr">
        <is>
          <t>Mục tiêu lợi nhuận từng được nêu</t>
        </is>
      </c>
      <c r="B11" s="99" t="inlineStr">
        <is>
          <t>Khoảng 1.500.000đ</t>
        </is>
      </c>
      <c r="C11" s="99" t="inlineStr">
        <is>
          <t>Yêu cầu trước của Phong</t>
        </is>
      </c>
      <c r="D11" s="99" t="inlineStr">
        <is>
          <t>Mục tiêu, không phải kết quả hoặc dự báo; cần xác nhận còn áp dụng cho ý tưởng này.</t>
        </is>
      </c>
    </row>
    <row r="12" ht="85" customHeight="1" s="89">
      <c r="A12" s="98" t="inlineStr">
        <is>
          <t>Kênh và cách bán dự kiến</t>
        </is>
      </c>
      <c r="B12" s="98" t="inlineStr">
        <is>
          <t>Facebook, Zalo, Instagram; video TikTok; tin nhắn/Google Forms; gom giao trong trường</t>
        </is>
      </c>
      <c r="C12" s="98" t="inlineStr">
        <is>
          <t>Mô tả ý tưởng của nhóm</t>
        </is>
      </c>
      <c r="D12" s="98" t="inlineStr">
        <is>
          <t>Định hướng do nhóm cung cấp; chưa có link kênh hoặc bằng chứng đã triển khai.</t>
        </is>
      </c>
    </row>
    <row r="13" ht="85" customHeight="1" s="89">
      <c r="A13" s="99" t="inlineStr">
        <is>
          <t>Cọc và duyệt mẫu trong ý tưởng</t>
        </is>
      </c>
      <c r="B13" s="99" t="inlineStr">
        <is>
          <t>Khách duyệt tên/cỡ/màu; cọc 50% sau duyệt</t>
        </is>
      </c>
      <c r="C13" s="99" t="inlineStr">
        <is>
          <t>Mô tả ý tưởng của nhóm</t>
        </is>
      </c>
      <c r="D13" s="99" t="inlineStr">
        <is>
          <t>Điều kiện dự kiến; chưa có quyết định nhóm hoặc giao dịch thực được cung cấp.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style="89" min="1" max="1"/>
    <col width="130" customWidth="1" style="89" min="2" max="2"/>
    <col width="40" customWidth="1" style="89" min="3" max="3"/>
    <col width="75" customWidth="1" style="89" min="4" max="4"/>
    <col width="35" customWidth="1" style="89" min="5" max="5"/>
    <col width="85" customWidth="1" style="89" min="6" max="6"/>
  </cols>
  <sheetData>
    <row r="1" ht="36" customHeight="1" s="89">
      <c r="A1" s="97" t="inlineStr">
        <is>
          <t>Nhóm dữ liệu</t>
        </is>
      </c>
      <c r="B1" s="97" t="inlineStr">
        <is>
          <t>Nội dung cần gửi</t>
        </is>
      </c>
      <c r="C1" s="97" t="inlineStr">
        <is>
          <t>Đầu mối theo phân công</t>
        </is>
      </c>
      <c r="D1" s="97" t="inlineStr">
        <is>
          <t>Dùng cho</t>
        </is>
      </c>
      <c r="E1" s="97" t="inlineStr">
        <is>
          <t>Thứ tự</t>
        </is>
      </c>
      <c r="F1" s="97" t="inlineStr">
        <is>
          <t>Tình trạng tiếp nhận</t>
        </is>
      </c>
    </row>
    <row r="2" ht="85" customHeight="1" s="89">
      <c r="A2" s="98" t="inlineStr">
        <is>
          <t>Đề gốc và mẫu PCG</t>
        </is>
      </c>
      <c r="B2" s="98" t="inlineStr">
        <is>
          <t>BaiTapNhom_Chuong1.pdf; hướng dẫn chấm/nộp; mẫu Project Charter, Weekly Report, Budget &amp; Sales Tracker, Risk &amp; Issue Log nếu được yêu cầu.</t>
        </is>
      </c>
      <c r="C2" s="98" t="inlineStr">
        <is>
          <t>Phong/PM chuyển tài liệu gốc</t>
        </is>
      </c>
      <c r="D2" s="98" t="inlineStr">
        <is>
          <t>Đối chiếu chính xác yêu cầu, cấu trúc, tên file, phần nào bắt buộc.</t>
        </is>
      </c>
      <c r="E2" s="98" t="inlineStr">
        <is>
          <t>Ưu tiên trước</t>
        </is>
      </c>
      <c r="F2" s="98" t="inlineStr">
        <is>
          <t>Chưa được cung cấp trực tiếp; file công việc chỉ nhắc tên/nguồn.</t>
        </is>
      </c>
    </row>
    <row r="3" ht="85" customHeight="1" s="89">
      <c r="A3" s="99" t="inlineStr">
        <is>
          <t>Thông tin bìa</t>
        </is>
      </c>
      <c r="B3" s="99" t="inlineStr">
        <is>
          <t>Tên/số nhóm, lớp, thông tin thành viên cần ghi theo đề. MSSV có thể để trống để nhóm tự điền sau.</t>
        </is>
      </c>
      <c r="C3" s="99" t="inlineStr">
        <is>
          <t>Phong/PM</t>
        </is>
      </c>
      <c r="D3" s="99" t="inlineStr">
        <is>
          <t>Project Overview và Word nộp.</t>
        </is>
      </c>
      <c r="E3" s="99" t="inlineStr">
        <is>
          <t>Ưu tiên trước</t>
        </is>
      </c>
      <c r="F3" s="99" t="inlineStr">
        <is>
          <t>Đã xác nhận 8 người; chưa có tên/số nhóm, lớp.</t>
        </is>
      </c>
    </row>
    <row r="4" ht="85" customHeight="1" s="89">
      <c r="A4" s="98" t="inlineStr">
        <is>
          <t>Mốc và quyết định</t>
        </is>
      </c>
      <c r="B4" s="98" t="inlineStr">
        <is>
          <t>Ngày bắt đầu/kết thúc 8 tuần; hạn tuần 1 có đổi không; ai/quyết định nào xác nhận chọn vòng tay; mục tiêu lãi còn là 1,5 triệu không.</t>
        </is>
      </c>
      <c r="C4" s="98" t="inlineStr">
        <is>
          <t>Phong/PM</t>
        </is>
      </c>
      <c r="D4" s="98" t="inlineStr">
        <is>
          <t>Charter và timeline có căn cứ.</t>
        </is>
      </c>
      <c r="E4" s="98" t="inlineStr">
        <is>
          <t>Ưu tiên trước</t>
        </is>
      </c>
      <c r="F4" s="98" t="inlineStr">
        <is>
          <t>Chỉ có thời lượng và hạn trong workbook; chưa có ngày khởi động/kết thúc dự án.</t>
        </is>
      </c>
    </row>
    <row r="5" ht="85" customHeight="1" s="89">
      <c r="A5" s="99" t="inlineStr">
        <is>
          <t>Mức giá và cấu hình đã chốt</t>
        </is>
      </c>
      <c r="B5" s="99" t="inlineStr">
        <is>
          <t>Giá 35k/65k/150k đã chốt hay còn dự kiến; loại hạt/dây, cỡ, giới hạn chữ, phụ phí, giao hàng, xử lý đổi/hủy.</t>
        </is>
      </c>
      <c r="C5" s="99" t="inlineStr">
        <is>
          <t>Bằng/Nam/Hưng; PM xác nhận</t>
        </is>
      </c>
      <c r="D5" s="99" t="inlineStr">
        <is>
          <t>Ghi đúng sản phẩm và điều kiện bán.</t>
        </is>
      </c>
      <c r="E5" s="99" t="inlineStr">
        <is>
          <t>Ưu tiên trước</t>
        </is>
      </c>
      <c r="F5" s="99" t="inlineStr">
        <is>
          <t>Mới có nội dung ý tưởng; không tự thêm số chữ, thời gian làm hay cam kết dịch vụ.</t>
        </is>
      </c>
    </row>
    <row r="6" ht="85" customHeight="1" s="89">
      <c r="A6" s="98" t="inlineStr">
        <is>
          <t>Tình trạng công việc thật</t>
        </is>
      </c>
      <c r="B6" s="98" t="inlineStr">
        <is>
          <t>Mỗi người đã làm việc gì, đầu ra/link, ngày, người đã review; việc còn thiếu và vướng mắc.</t>
        </is>
      </c>
      <c r="C6" s="98" t="inlineStr">
        <is>
          <t>Từng Lead; Phong tổng hợp</t>
        </is>
      </c>
      <c r="D6" s="98" t="inlineStr">
        <is>
          <t>Summary, Weekly Report, Task Board và đóng góp.</t>
        </is>
      </c>
      <c r="E6" s="98" t="inlineStr">
        <is>
          <t>Ưu tiên trước</t>
        </is>
      </c>
      <c r="F6" s="98" t="inlineStr">
        <is>
          <t>Trạng thái trong workbook chưa được xác nhận là hiện trạng.</t>
        </is>
      </c>
    </row>
    <row r="7" ht="85" customHeight="1" s="89">
      <c r="A7" s="99" t="inlineStr">
        <is>
          <t>Nghiên cứu nhu cầu</t>
        </is>
      </c>
      <c r="B7" s="99" t="inlineStr">
        <is>
          <t>Nếu đã khảo sát: câu hỏi, dữ liệu trả lời gốc, ngày, cách chọn người, ghi chú trao đổi; có thể ẩn tên/số điện thoại. Nếu chưa có chỉ ghi “chưa làm”.</t>
        </is>
      </c>
      <c r="C7" s="99" t="inlineStr">
        <is>
          <t>Huy; Nam hỗ trợ theo file</t>
        </is>
      </c>
      <c r="D7" s="99" t="inlineStr">
        <is>
          <t>Opportunity Statement và bằng chứng BT2; không tạo câu trả lời hay tỷ lệ.</t>
        </is>
      </c>
      <c r="E7" s="99" t="inlineStr">
        <is>
          <t>Bổ sung theo tình trạng thật</t>
        </is>
      </c>
      <c r="F7" s="99" t="inlineStr">
        <is>
          <t>Chưa được cung cấp; chưa kết luận nhóm đã hay chưa khảo sát.</t>
        </is>
      </c>
    </row>
    <row r="8" ht="85" customHeight="1" s="89">
      <c r="A8" s="98" t="inlineStr">
        <is>
          <t>Đối thủ và nguồn hàng</t>
        </is>
      </c>
      <c r="B8" s="98" t="inlineStr">
        <is>
          <t>Link sản phẩm/shop/ảnh báo giá có ngày; loại/khối lượng hạt, số chữ, dây, bao bì; giá, số lượng tối thiểu, phí nhập, thời gian, điều kiện lỗi. URL Thị Trường Sỉ nếu muốn dùng.</t>
        </is>
      </c>
      <c r="C8" s="98" t="inlineStr">
        <is>
          <t>Bằng/Danh/Hưng theo phân công</t>
        </is>
      </c>
      <c r="D8" s="98" t="inlineStr">
        <is>
          <t>Minh chứng so sánh và giá; nhãn “Thị Trường Sỉ” hiện chưa có URL.</t>
        </is>
      </c>
      <c r="E8" s="98" t="inlineStr">
        <is>
          <t>Bổ sung theo tình trạng thật</t>
        </is>
      </c>
      <c r="F8" s="98" t="inlineStr">
        <is>
          <t>Chưa có URL hay báo giá xác minh được cung cấp.</t>
        </is>
      </c>
    </row>
    <row r="9" ht="85" customHeight="1" s="89">
      <c r="A9" s="99" t="inlineStr">
        <is>
          <t>Mẫu và thao tác sản xuất</t>
        </is>
      </c>
      <c r="B9" s="99" t="inlineStr">
        <is>
          <t>Ảnh mẫu thật; định mức vật tư mỗi mẫu; cách đo cỡ; thời gian làm đo thực; kết quả kiểm mối buộc/độ bền và lỗi đã thấy.</t>
        </is>
      </c>
      <c r="C9" s="99" t="inlineStr">
        <is>
          <t>Hưng</t>
        </is>
      </c>
      <c r="D9" s="99" t="inlineStr">
        <is>
          <t>Phần vận hành, giới hạn sản phẩm và rủi ro dựa trên quan sát.</t>
        </is>
      </c>
      <c r="E9" s="99" t="inlineStr">
        <is>
          <t>Bổ sung theo tình trạng thật</t>
        </is>
      </c>
      <c r="F9" s="99" t="inlineStr">
        <is>
          <t>Chưa có mẫu hoặc kết quả test được cung cấp.</t>
        </is>
      </c>
    </row>
    <row r="10" ht="85" customHeight="1" s="89">
      <c r="A10" s="98" t="inlineStr">
        <is>
          <t>Tiền và bán hàng thực</t>
        </is>
      </c>
      <c r="B10" s="98" t="inlineStr">
        <is>
          <t>Số vốn đã góp; người giữ quỹ; chứng từ từng khoản thu/chi; tồn vật tư; đơn/cọc/giao/hoàn; giá từng đơn và phí ai chịu. Nếu không phát sinh, owner xác nhận rõ.</t>
        </is>
      </c>
      <c r="C10" s="98" t="inlineStr">
        <is>
          <t>Bằng/Nam/Hưng/Đạt</t>
        </is>
      </c>
      <c r="D10" s="98" t="inlineStr">
        <is>
          <t>Tính chi phí, doanh thu, tiền, tồn và lợi nhuận sau khi đủ dữ liệu.</t>
        </is>
      </c>
      <c r="E10" s="98" t="inlineStr">
        <is>
          <t>Bổ sung theo tình trạng thật</t>
        </is>
      </c>
      <c r="F10" s="98" t="inlineStr">
        <is>
          <t>Chưa có dữ liệu; không tự ghi 0.</t>
        </is>
      </c>
    </row>
    <row r="11" ht="85" customHeight="1" s="89">
      <c r="A11" s="99" t="inlineStr">
        <is>
          <t>Quy chế phối hợp đã thống nhất</t>
        </is>
      </c>
      <c r="B11" s="99" t="inlineStr">
        <is>
          <t>Kênh nhóm, lịch họp, giờ phản hồi, bàn giao/review, người quyết định, cách xử lý trễ/bất đồng, quy tắc ghi nhận đóng góp.</t>
        </is>
      </c>
      <c r="C11" s="99" t="inlineStr">
        <is>
          <t>PM và các thành viên</t>
        </is>
      </c>
      <c r="D11" s="99" t="inlineStr">
        <is>
          <t>Team Charter, Communication Plan; không tự đặt SLA/lịch họp.</t>
        </is>
      </c>
      <c r="E11" s="99" t="inlineStr">
        <is>
          <t>Trước xác nhận Team Charter</t>
        </is>
      </c>
      <c r="F11" s="99" t="inlineStr">
        <is>
          <t>Chưa có xác nhận quy chế được cung cấp.</t>
        </is>
      </c>
    </row>
    <row r="12" ht="85" customHeight="1" s="89">
      <c r="A12" s="98" t="inlineStr">
        <is>
          <t>Stakeholder thật</t>
        </is>
      </c>
      <c r="B12" s="98" t="inlineStr">
        <is>
          <t>Tên/đầu mối nhà cung cấp, nhóm khách/lớp/CLB, giao nhận, PIC/PCG/GV; ai được giao liên hệ, kênh và lịch đã thống nhất. Không cần mật khẩu hay dữ liệu riêng không liên quan.</t>
        </is>
      </c>
      <c r="C12" s="98" t="inlineStr">
        <is>
          <t>PM/Nam/Bằng/Hưng</t>
        </is>
      </c>
      <c r="D12" s="98" t="inlineStr">
        <is>
          <t>Stakeholder Register và kế hoạch tương tác có căn cứ.</t>
        </is>
      </c>
      <c r="E12" s="98" t="inlineStr">
        <is>
          <t>Trước duyệt BT5</t>
        </is>
      </c>
      <c r="F12" s="98" t="inlineStr">
        <is>
          <t>Chưa có liên hệ hoặc phân quyền thực được cung cấp.</t>
        </is>
      </c>
    </row>
    <row r="13" ht="85" customHeight="1" s="89">
      <c r="A13" s="99" t="inlineStr">
        <is>
          <t>Minh chứng chia sẻ và xác nhận</t>
        </is>
      </c>
      <c r="B13" s="99" t="inlineStr">
        <is>
          <t>Folder team, quyền người xem, board dùng thật, ảnh/link task, phiên bản đã được PM duyệt, phản hồi PIC nếu có. Có thể gửi file xuất hoặc ảnh phần liên quan.</t>
        </is>
      </c>
      <c r="C13" s="99" t="inlineStr">
        <is>
          <t>Phong/Đạt/PM</t>
        </is>
      </c>
      <c r="D13" s="99" t="inlineStr">
        <is>
          <t>BT7–BT9 và truy vết hồ sơ.</t>
        </is>
      </c>
      <c r="E13" s="99" t="inlineStr">
        <is>
          <t>Trước chốt hồ sơ</t>
        </is>
      </c>
      <c r="F13" s="99" t="inlineStr">
        <is>
          <t>Chưa có minh chứng quyền, board hoặc phê duyệt thực được cung cấp.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89" min="1" max="1"/>
    <col width="25" customWidth="1" style="89" min="2" max="2"/>
    <col width="75" customWidth="1" style="89" min="3" max="3"/>
    <col width="80" customWidth="1" style="89" min="4" max="4"/>
    <col width="32" customWidth="1" style="89" min="5" max="5"/>
    <col width="55" customWidth="1" style="89" min="6" max="6"/>
  </cols>
  <sheetData>
    <row r="1" ht="36" customHeight="1" s="89">
      <c r="A1" s="97" t="inlineStr">
        <is>
          <t>Khoản</t>
        </is>
      </c>
      <c r="B1" s="97" t="inlineStr">
        <is>
          <t>Số trong ý tưởng</t>
        </is>
      </c>
      <c r="C1" s="97" t="inlineStr">
        <is>
          <t>Bản chất / nguồn</t>
        </is>
      </c>
      <c r="D1" s="97" t="inlineStr">
        <is>
          <t>Giới hạn</t>
        </is>
      </c>
      <c r="E1" s="97" t="inlineStr">
        <is>
          <t>Số thực / mức đã chốt</t>
        </is>
      </c>
      <c r="F1" s="97" t="inlineStr">
        <is>
          <t>Minh chứng / xác nhận</t>
        </is>
      </c>
    </row>
    <row r="2" ht="85" customHeight="1" s="89">
      <c r="A2" s="98" t="inlineStr">
        <is>
          <t>Giá vốn mục tiêu/vòng</t>
        </is>
      </c>
      <c r="B2" s="100" t="n">
        <v>15000</v>
      </c>
      <c r="C2" s="98" t="inlineStr">
        <is>
          <t>Mục tiêu “không quá” trong ý tưởng của nhóm</t>
        </is>
      </c>
      <c r="D2" s="98" t="inlineStr">
        <is>
          <t>Không phải giá vốn thực; chờ định mức và báo giá.</t>
        </is>
      </c>
      <c r="E2" s="101" t="n"/>
      <c r="F2" s="98" t="inlineStr">
        <is>
          <t>Chưa được cung cấp</t>
        </is>
      </c>
    </row>
    <row r="3" ht="85" customHeight="1" s="89">
      <c r="A3" s="99" t="inlineStr">
        <is>
          <t>Giá bán lẻ/vòng</t>
        </is>
      </c>
      <c r="B3" s="102" t="n">
        <v>35000</v>
      </c>
      <c r="C3" s="99" t="inlineStr">
        <is>
          <t>Giá dự kiến trong ý tưởng của nhóm</t>
        </is>
      </c>
      <c r="D3" s="99" t="inlineStr">
        <is>
          <t>Chưa được xác nhận là bảng giá đã chốt.</t>
        </is>
      </c>
      <c r="E3" s="101" t="n"/>
      <c r="F3" s="99" t="inlineStr">
        <is>
          <t>Chưa được cung cấp</t>
        </is>
      </c>
    </row>
    <row r="4" ht="85" customHeight="1" s="89">
      <c r="A4" s="98" t="inlineStr">
        <is>
          <t>Giá bán một đôi</t>
        </is>
      </c>
      <c r="B4" s="100" t="n">
        <v>65000</v>
      </c>
      <c r="C4" s="98" t="inlineStr">
        <is>
          <t>Giá dự kiến trong ý tưởng của nhóm</t>
        </is>
      </c>
      <c r="D4" s="98" t="inlineStr">
        <is>
          <t>Chưa được xác nhận là bảng giá đã chốt.</t>
        </is>
      </c>
      <c r="E4" s="101" t="n"/>
      <c r="F4" s="98" t="inlineStr">
        <is>
          <t>Chưa được cung cấp</t>
        </is>
      </c>
    </row>
    <row r="5" ht="85" customHeight="1" s="89">
      <c r="A5" s="99" t="inlineStr">
        <is>
          <t>Giá bán một bộ 5</t>
        </is>
      </c>
      <c r="B5" s="102" t="n">
        <v>150000</v>
      </c>
      <c r="C5" s="99" t="inlineStr">
        <is>
          <t>Giá dự kiến trong ý tưởng của nhóm</t>
        </is>
      </c>
      <c r="D5" s="99" t="inlineStr">
        <is>
          <t>Chưa được xác nhận là bảng giá đã chốt.</t>
        </is>
      </c>
      <c r="E5" s="101" t="n"/>
      <c r="F5" s="99" t="inlineStr">
        <is>
          <t>Chưa được cung cấp</t>
        </is>
      </c>
    </row>
    <row r="6" ht="85" customHeight="1" s="89">
      <c r="A6" s="98" t="inlineStr">
        <is>
          <t>Phân bổ vốn: vật tư</t>
        </is>
      </c>
      <c r="B6" s="100" t="n">
        <v>250000</v>
      </c>
      <c r="C6" s="98" t="inlineStr">
        <is>
          <t>Dự toán nhóm ghi trong tin nhắn</t>
        </is>
      </c>
      <c r="D6" s="98" t="inlineStr">
        <is>
          <t>Không phải chi thực tế hoặc báo giá.</t>
        </is>
      </c>
      <c r="E6" s="101" t="n"/>
      <c r="F6" s="98" t="inlineStr">
        <is>
          <t>Chưa được cung cấp</t>
        </is>
      </c>
    </row>
    <row r="7" ht="85" customHeight="1" s="89">
      <c r="A7" s="99" t="inlineStr">
        <is>
          <t>Phân bổ vốn: bao bì</t>
        </is>
      </c>
      <c r="B7" s="102" t="n">
        <v>50000</v>
      </c>
      <c r="C7" s="99" t="inlineStr">
        <is>
          <t>Dự toán nhóm ghi trong tin nhắn</t>
        </is>
      </c>
      <c r="D7" s="99" t="inlineStr">
        <is>
          <t>Không phải chi thực tế hoặc báo giá.</t>
        </is>
      </c>
      <c r="E7" s="101" t="n"/>
      <c r="F7" s="99" t="inlineStr">
        <is>
          <t>Chưa được cung cấp</t>
        </is>
      </c>
    </row>
    <row r="8" ht="85" customHeight="1" s="89">
      <c r="A8" s="98" t="inlineStr">
        <is>
          <t>Phân bổ vốn: dụng cụ</t>
        </is>
      </c>
      <c r="B8" s="100" t="n">
        <v>50000</v>
      </c>
      <c r="C8" s="98" t="inlineStr">
        <is>
          <t>Dự toán nhóm ghi trong tin nhắn</t>
        </is>
      </c>
      <c r="D8" s="98" t="inlineStr">
        <is>
          <t>Không phải chi thực tế hoặc báo giá.</t>
        </is>
      </c>
      <c r="E8" s="101" t="n"/>
      <c r="F8" s="98" t="inlineStr">
        <is>
          <t>Chưa được cung cấp</t>
        </is>
      </c>
    </row>
    <row r="9" ht="85" customHeight="1" s="89">
      <c r="A9" s="99" t="inlineStr">
        <is>
          <t>Phân bổ vốn: vận chuyển nhập</t>
        </is>
      </c>
      <c r="B9" s="102" t="n">
        <v>50000</v>
      </c>
      <c r="C9" s="99" t="inlineStr">
        <is>
          <t>Dự toán nhóm ghi trong tin nhắn</t>
        </is>
      </c>
      <c r="D9" s="99" t="inlineStr">
        <is>
          <t>Không phải chi thực tế hoặc báo giá.</t>
        </is>
      </c>
      <c r="E9" s="101" t="n"/>
      <c r="F9" s="99" t="inlineStr">
        <is>
          <t>Chưa được cung cấp</t>
        </is>
      </c>
    </row>
    <row r="10" ht="85" customHeight="1" s="89">
      <c r="A10" s="98" t="inlineStr">
        <is>
          <t>Phân bổ vốn: dự phòng</t>
        </is>
      </c>
      <c r="B10" s="100" t="n">
        <v>100000</v>
      </c>
      <c r="C10" s="98" t="inlineStr">
        <is>
          <t>Dự toán nhóm ghi trong tin nhắn</t>
        </is>
      </c>
      <c r="D10" s="98" t="inlineStr">
        <is>
          <t>Không xem là đã chi.</t>
        </is>
      </c>
      <c r="E10" s="101" t="n"/>
      <c r="F10" s="98" t="inlineStr">
        <is>
          <t>Chưa được cung cấp</t>
        </is>
      </c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style="89" min="1" max="1"/>
    <col width="75" customWidth="1" style="89" min="2" max="2"/>
    <col width="115" customWidth="1" style="89" min="3" max="3"/>
  </cols>
  <sheetData>
    <row r="1" ht="36" customHeight="1" s="89">
      <c r="A1" s="97" t="inlineStr">
        <is>
          <t>Nội dung v0.9</t>
        </is>
      </c>
      <c r="B1" s="97" t="inlineStr">
        <is>
          <t>Nguồn phát sinh</t>
        </is>
      </c>
      <c r="C1" s="97" t="inlineStr">
        <is>
          <t>Xử lý</t>
        </is>
      </c>
    </row>
    <row r="2" ht="85" customHeight="1" s="89">
      <c r="A2" s="98" t="inlineStr">
        <is>
          <t>Sản lượng 100 vòng; 48 đơn; cơ cấu 20 lẻ/20 đôi/8 bộ</t>
        </is>
      </c>
      <c r="B2" s="98" t="inlineStr">
        <is>
          <t>Trợ lý tự đặt cho mô hình</t>
        </is>
      </c>
      <c r="C2" s="98" t="inlineStr">
        <is>
          <t>Không đưa vào bài hoặc tính kết quả.</t>
        </is>
      </c>
    </row>
    <row r="3" ht="85" customHeight="1" s="89">
      <c r="A3" s="99" t="inlineStr">
        <is>
          <t>Giá bình quân 32.000đ</t>
        </is>
      </c>
      <c r="B3" s="99" t="inlineStr">
        <is>
          <t>Suy ra từ cơ cấu đơn do trợ lý tự đặt</t>
        </is>
      </c>
      <c r="C3" s="99" t="inlineStr">
        <is>
          <t>Không dùng khi chưa có cơ cấu đơn thật hoặc mục tiêu được nhóm chốt.</t>
        </is>
      </c>
    </row>
    <row r="4" ht="85" customHeight="1" s="89">
      <c r="A4" s="98" t="inlineStr">
        <is>
          <t>Chi phí chung 100.000đ; mẫu/khác 50.000đ</t>
        </is>
      </c>
      <c r="B4" s="98" t="inlineStr">
        <is>
          <t>Trợ lý tự phân loại/bổ sung</t>
        </is>
      </c>
      <c r="C4" s="98" t="inlineStr">
        <is>
          <t>Bỏ; chờ khoản chi, mục đích và chứng từ thật.</t>
        </is>
      </c>
    </row>
    <row r="5" ht="85" customHeight="1" s="89">
      <c r="A5" s="99" t="inlineStr">
        <is>
          <t>Doanh thu/lợi nhuận dự kiến và các ngưỡng sản lượng trong v0.9</t>
        </is>
      </c>
      <c r="B5" s="99" t="inlineStr">
        <is>
          <t>Tính từ các đầu vào trợ lý tự đặt</t>
        </is>
      </c>
      <c r="C5" s="99" t="inlineStr">
        <is>
          <t>Bỏ cả kết quả dẫn xuất; không xem là dự báo hoặc kết quả nhóm.</t>
        </is>
      </c>
    </row>
    <row r="6" ht="85" customHeight="1" s="89">
      <c r="A6" s="98" t="inlineStr">
        <is>
          <t>Lịch 18/10–12/12 và chỉ tiêu bán từng tuần</t>
        </is>
      </c>
      <c r="B6" s="98" t="inlineStr">
        <is>
          <t>Trợ lý tự đặt ngày và phân bổ</t>
        </is>
      </c>
      <c r="C6" s="98" t="inlineStr">
        <is>
          <t>Chỉ giữ thời lượng 8 tuần; ngày/mốc/sản lượng chờ nhóm.</t>
        </is>
      </c>
    </row>
    <row r="7" ht="85" customHeight="1" s="89">
      <c r="A7" s="99" t="inlineStr">
        <is>
          <t>Ngưỡng khảo sát/đơn cọc/khách, QC, tỷ lệ lỗi, biên góp do trợ lý thêm</t>
        </is>
      </c>
      <c r="B7" s="99" t="inlineStr">
        <is>
          <t>Trợ lý tự đề xuất, chưa được nhóm chốt</t>
        </is>
      </c>
      <c r="C7" s="99" t="inlineStr">
        <is>
          <t>Không ghi thành KPI/tiêu chí đã thống nhất. Yêu cầu có trong đề được trích riêng từ file nguồn.</t>
        </is>
      </c>
    </row>
    <row r="8" ht="85" customHeight="1" s="89">
      <c r="A8" s="98" t="inlineStr">
        <is>
          <t>Tối đa 8 hạt chữ, ba bảng màu, thời gian làm/giao, lịch họp và SLA tự thêm</t>
        </is>
      </c>
      <c r="B8" s="98" t="inlineStr">
        <is>
          <t>Trợ lý tự đề xuất</t>
        </is>
      </c>
      <c r="C8" s="98" t="inlineStr">
        <is>
          <t>Bỏ; chờ cấu hình, năng lực và quy chế nhóm thực tế.</t>
        </is>
      </c>
    </row>
    <row r="9" ht="85" customHeight="1" s="89">
      <c r="A9" s="99" t="inlineStr">
        <is>
          <t>Xếp mức ảnh hưởng/xác suất/tác động, chủ việc và lịch liên hệ tự gán</t>
        </is>
      </c>
      <c r="B9" s="99" t="inlineStr">
        <is>
          <t>Đánh giá ban đầu của trợ lý</t>
        </is>
      </c>
      <c r="C9" s="99" t="inlineStr">
        <is>
          <t>Chưa coi là dữ liệu hoặc quyết định; để chờ xác nhận hoặc phân tích cùng nhóm sau khi có thông tin.</t>
        </is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9" min="1" max="1"/>
    <col width="95" customWidth="1" style="89" min="2" max="2"/>
    <col width="70" customWidth="1" style="89" min="3" max="3"/>
    <col width="25" customWidth="1" style="89" min="4" max="4"/>
    <col width="95" customWidth="1" style="89" min="5" max="5"/>
    <col width="65" customWidth="1" style="89" min="6" max="6"/>
    <col width="65" customWidth="1" style="89" min="7" max="7"/>
  </cols>
  <sheetData>
    <row r="1" ht="36" customHeight="1" s="89">
      <c r="A1" s="97" t="inlineStr">
        <is>
          <t>Mã theo nguồn</t>
        </is>
      </c>
      <c r="B1" s="97" t="inlineStr">
        <is>
          <t>Nhiệm vụ theo nguồn</t>
        </is>
      </c>
      <c r="C1" s="97" t="inlineStr">
        <is>
          <t>Đầu ra theo nguồn</t>
        </is>
      </c>
      <c r="D1" s="97" t="inlineStr">
        <is>
          <t>Hạn theo nguồn</t>
        </is>
      </c>
      <c r="E1" s="97" t="inlineStr">
        <is>
          <t>DoD theo nguồn</t>
        </is>
      </c>
      <c r="F1" s="97" t="inlineStr">
        <is>
          <t>Nơi nộp theo nguồn</t>
        </is>
      </c>
      <c r="G1" s="97" t="inlineStr">
        <is>
          <t>Tình trạng xác nhận</t>
        </is>
      </c>
    </row>
    <row r="2" ht="85" customHeight="1" s="89">
      <c r="A2" s="98" t="inlineStr">
        <is>
          <t>2.3</t>
        </is>
      </c>
      <c r="B2" s="98" t="inlineStr">
        <is>
          <t>Tổng hợp bằng chứng; viết Opportunity Statement 200-300 từ; lập kế hoạch test Tuần 2</t>
        </is>
      </c>
      <c r="C2" s="98" t="inlineStr">
        <is>
          <t>Opportunity Statement và kế hoạch kiểm chứng</t>
        </is>
      </c>
      <c r="D2" s="98" t="inlineStr">
        <is>
          <t>19/10/2026 22:00</t>
        </is>
      </c>
      <c r="E2" s="98" t="inlineStr">
        <is>
          <t>Đủ bối cảnh, khách hàng, nhu cầu, giá trị, cách tiếp cận và giả định</t>
        </is>
      </c>
      <c r="F2" s="98" t="inlineStr">
        <is>
          <t>02_Market_Research</t>
        </is>
      </c>
      <c r="G2" s="98" t="inlineStr">
        <is>
          <t>Chờ đầu vào/xác nhận thực tế; chưa đánh dấu hoàn tất</t>
        </is>
      </c>
    </row>
    <row r="3" ht="85" customHeight="1" s="89">
      <c r="A3" s="99" t="inlineStr">
        <is>
          <t>3.3</t>
        </is>
      </c>
      <c r="B3" s="99" t="inlineStr">
        <is>
          <t>Viết, chuẩn hóa và trình PM duyệt Project Charter v1.0</t>
        </is>
      </c>
      <c r="C3" s="99" t="inlineStr">
        <is>
          <t>Project Charter 2-3 trang</t>
        </is>
      </c>
      <c r="D3" s="99" t="inlineStr">
        <is>
          <t>20/10/2026 18:00</t>
        </is>
      </c>
      <c r="E3" s="99" t="inlineStr">
        <is>
          <t>Đúng cấu trúc; số liệu nhất quán; PM phê duyệt</t>
        </is>
      </c>
      <c r="F3" s="99" t="inlineStr">
        <is>
          <t>01_Project_Charter</t>
        </is>
      </c>
      <c r="G3" s="99" t="inlineStr">
        <is>
          <t>Chờ đầu vào/xác nhận thực tế; chưa đánh dấu hoàn tất</t>
        </is>
      </c>
    </row>
    <row r="4" ht="85" customHeight="1" s="89">
      <c r="A4" s="98" t="inlineStr">
        <is>
          <t>5.1</t>
        </is>
      </c>
      <c r="B4" s="98" t="inlineStr">
        <is>
          <t>Lập tối thiểu 5 stakeholder; phân tích vai trò, nhu cầu và mức ảnh hưởng</t>
        </is>
      </c>
      <c r="C4" s="98" t="inlineStr">
        <is>
          <t>Stakeholder Register bản nháp</t>
        </is>
      </c>
      <c r="D4" s="98" t="inlineStr">
        <is>
          <t>20/10/2026 11:00</t>
        </is>
      </c>
      <c r="E4" s="98" t="inlineStr">
        <is>
          <t>Có khách hàng, NCC, nền tảng, vận chuyển, nhóm và GV/PCG</t>
        </is>
      </c>
      <c r="F4" s="98" t="inlineStr">
        <is>
          <t>01_Project_Charter</t>
        </is>
      </c>
      <c r="G4" s="98" t="inlineStr">
        <is>
          <t>Chờ đầu vào/xác nhận thực tế; chưa đánh dấu hoàn tất</t>
        </is>
      </c>
    </row>
    <row r="5" ht="85" customHeight="1" s="89">
      <c r="A5" s="99" t="inlineStr">
        <is>
          <t>5.2</t>
        </is>
      </c>
      <c r="B5" s="99" t="inlineStr">
        <is>
          <t>Xác định kênh, tần suất, owner và nội dung phối hợp từng stakeholder</t>
        </is>
      </c>
      <c r="C5" s="99" t="inlineStr">
        <is>
          <t>Kế hoạch tương tác stakeholder</t>
        </is>
      </c>
      <c r="D5" s="99" t="inlineStr">
        <is>
          <t>20/10/2026 13:00</t>
        </is>
      </c>
      <c r="E5" s="99" t="inlineStr">
        <is>
          <t>Mỗi stakeholder có cách phối hợp kiểm tra được</t>
        </is>
      </c>
      <c r="F5" s="99" t="inlineStr">
        <is>
          <t>01_Project_Charter</t>
        </is>
      </c>
      <c r="G5" s="99" t="inlineStr">
        <is>
          <t>Chờ đầu vào/xác nhận thực tế; chưa đánh dấu hoàn tất</t>
        </is>
      </c>
    </row>
    <row r="6" ht="85" customHeight="1" s="89">
      <c r="A6" s="98" t="inlineStr">
        <is>
          <t>6.2</t>
        </is>
      </c>
      <c r="B6" s="98" t="inlineStr">
        <is>
          <t>Chốt kênh trao đổi, lịch họp, SLA phản hồi, bàn giao, xử lý trễ và bất đồng</t>
        </is>
      </c>
      <c r="C6" s="98" t="inlineStr">
        <is>
          <t>Team Charter bản nháp</t>
        </is>
      </c>
      <c r="D6" s="98" t="inlineStr">
        <is>
          <t>18/10/2026 22:00</t>
        </is>
      </c>
      <c r="E6" s="98" t="inlineStr">
        <is>
          <t>Quy tắc cụ thể, có người quyết định và thời hạn phản hồi</t>
        </is>
      </c>
      <c r="F6" s="98" t="inlineStr">
        <is>
          <t>01_Project_Charter</t>
        </is>
      </c>
      <c r="G6" s="98" t="inlineStr">
        <is>
          <t>Chờ đầu vào/xác nhận thực tế; chưa đánh dấu hoàn tất</t>
        </is>
      </c>
    </row>
    <row r="7" ht="85" customHeight="1" s="89">
      <c r="A7" s="99" t="inlineStr">
        <is>
          <t>7.3</t>
        </is>
      </c>
      <c r="B7" s="99" t="inlineStr">
        <is>
          <t>Viết Description, Definition of Done, minh chứng; chia sẻ và chụp board</t>
        </is>
      </c>
      <c r="C7" s="99" t="inlineStr">
        <is>
          <t>Task có WHAT/WHY, output và evidence</t>
        </is>
      </c>
      <c r="D7" s="99" t="inlineStr">
        <is>
          <t>18/10/2026 23:00</t>
        </is>
      </c>
      <c r="E7" s="99" t="inlineStr">
        <is>
          <t>Không chuyển Done nếu chưa có kết quả kiểm tra được</t>
        </is>
      </c>
      <c r="F7" s="99" t="inlineStr">
        <is>
          <t>06_Weekly_Reports</t>
        </is>
      </c>
      <c r="G7" s="99" t="inlineStr">
        <is>
          <t>Chờ đầu vào/xác nhận thực tế; chưa đánh dấu hoàn tất</t>
        </is>
      </c>
    </row>
    <row r="8" ht="85" customHeight="1" s="89">
      <c r="A8" s="98" t="inlineStr">
        <is>
          <t>8.1</t>
        </is>
      </c>
      <c r="B8" s="98" t="inlineStr">
        <is>
          <t>Tạo 7 thư mục theo đề và thiết lập quyền truy cập</t>
        </is>
      </c>
      <c r="C8" s="98" t="inlineStr">
        <is>
          <t>Kho Drive đủ cấu trúc và quyền</t>
        </is>
      </c>
      <c r="D8" s="98" t="inlineStr">
        <is>
          <t>19/10/2026 09:00</t>
        </is>
      </c>
      <c r="E8" s="98" t="inlineStr">
        <is>
          <t>7 thư mục con nằm trong folder team do PC tạo; quyền và link mở được; có người quản lý</t>
        </is>
      </c>
      <c r="F8" s="98" t="inlineStr">
        <is>
          <t>01_Project_Charter</t>
        </is>
      </c>
      <c r="G8" s="98" t="inlineStr">
        <is>
          <t>Chờ đầu vào/xác nhận thực tế; chưa đánh dấu hoàn tất</t>
        </is>
      </c>
    </row>
    <row r="9" ht="85" customHeight="1" s="89">
      <c r="A9" s="99" t="inlineStr">
        <is>
          <t>8.2</t>
        </is>
      </c>
      <c r="B9" s="99" t="inlineStr">
        <is>
          <t>Quy định đặt tên, phiên bản; yêu cầu từng Lead tải minh chứng ban đầu</t>
        </is>
      </c>
      <c r="C9" s="99" t="inlineStr">
        <is>
          <t>Naming rule và tài liệu phiên bản đầu</t>
        </is>
      </c>
      <c r="D9" s="99" t="inlineStr">
        <is>
          <t>19/10/2026 11:00</t>
        </is>
      </c>
      <c r="E9" s="99" t="inlineStr">
        <is>
          <t>Mỗi mảng có ít nhất một tài liệu thật, ghi ngày và nguồn khi phù hợp</t>
        </is>
      </c>
      <c r="F9" s="99" t="inlineStr">
        <is>
          <t>01_Project_Charter</t>
        </is>
      </c>
      <c r="G9" s="99" t="inlineStr">
        <is>
          <t>Chờ đầu vào/xác nhận thực tế; chưa đánh dấu hoàn tất</t>
        </is>
      </c>
    </row>
    <row r="10" ht="85" customHeight="1" s="89">
      <c r="A10" s="98" t="inlineStr">
        <is>
          <t>9.1</t>
        </is>
      </c>
      <c r="B10" s="98" t="inlineStr">
        <is>
          <t>Thu đầu ra đã duyệt; viết Week 1 Summary 300-500 từ</t>
        </is>
      </c>
      <c r="C10" s="98" t="inlineStr">
        <is>
          <t>Week 1 Summary</t>
        </is>
      </c>
      <c r="D10" s="98" t="inlineStr">
        <is>
          <t>21/10/2026 12:00</t>
        </is>
      </c>
      <c r="E10" s="98" t="inlineStr">
        <is>
          <t>Đủ sản phẩm, lý do, bằng chứng, giả định, ngân sách, phân công, rủi ro, Tuần 2</t>
        </is>
      </c>
      <c r="F10" s="98" t="inlineStr">
        <is>
          <t>06_Weekly_Reports</t>
        </is>
      </c>
      <c r="G10" s="98" t="inlineStr">
        <is>
          <t>Chờ đầu vào/xác nhận thực tế; chưa đánh dấu hoàn tất</t>
        </is>
      </c>
    </row>
    <row r="11" ht="85" customHeight="1" s="89">
      <c r="A11" s="99" t="inlineStr">
        <is>
          <t>9.2</t>
        </is>
      </c>
      <c r="B11" s="99" t="inlineStr">
        <is>
          <t>Ghép file Word có bìa, thông tin nhóm, mục lục, bảng và các link</t>
        </is>
      </c>
      <c r="C11" s="99" t="inlineStr">
        <is>
          <t>01 file Word tổng hợp</t>
        </is>
      </c>
      <c r="D11" s="99" t="inlineStr">
        <is>
          <t>21/10/2026 15:00</t>
        </is>
      </c>
      <c r="E11" s="99" t="inlineStr">
        <is>
          <t>Link Task Board/Drive mở được; tên file đúng quy định</t>
        </is>
      </c>
      <c r="F11" s="99" t="inlineStr">
        <is>
          <t>07_Final_Report</t>
        </is>
      </c>
      <c r="G11" s="99" t="inlineStr">
        <is>
          <t>Chờ đầu vào/xác nhận thực tế; chưa đánh dấu hoàn tất</t>
        </is>
      </c>
    </row>
    <row r="12" ht="85" customHeight="1" s="89">
      <c r="A12" s="98" t="inlineStr">
        <is>
          <t>PCG-04</t>
        </is>
      </c>
      <c r="B12" s="98" t="inlineStr">
        <is>
          <t>Lập Weekly Report theo mẫu PCG: kế hoạch/thực tế, chi phí, tiếp cận/đơn/doanh thu, chất lượng, risk/issue, hành động Sprint 2</t>
        </is>
      </c>
      <c r="C12" s="98" t="inlineStr">
        <is>
          <t>Weekly Report Sprint 1 có link hồ sơ và điểm chưa hoàn thành</t>
        </is>
      </c>
      <c r="D12" s="98" t="inlineStr">
        <is>
          <t>21/10/2026</t>
        </is>
      </c>
      <c r="E12" s="98" t="inlineStr">
        <is>
          <t>Chưa phát sinh ghi 0; chưa có dữ liệu ghi rõ; số liệu khớp tracker</t>
        </is>
      </c>
      <c r="F12" s="98" t="inlineStr">
        <is>
          <t>06_Weekly_Reports</t>
        </is>
      </c>
      <c r="G12" s="98" t="inlineStr">
        <is>
          <t>Chờ đầu vào/xác nhận thực tế; chưa đánh dấu hoàn tất</t>
        </is>
      </c>
    </row>
  </sheetData>
  <autoFilter ref="A1:G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89" min="1" max="1"/>
    <col width="25" customWidth="1" style="89" min="2" max="2"/>
    <col width="25" customWidth="1" style="89" min="3" max="3"/>
    <col width="70" customWidth="1" style="89" min="4" max="4"/>
    <col width="70" customWidth="1" style="89" min="5" max="5"/>
    <col width="80" customWidth="1" style="89" min="6" max="6"/>
  </cols>
  <sheetData>
    <row r="1" ht="36" customHeight="1" s="89">
      <c r="A1" s="97" t="inlineStr">
        <is>
          <t>Tuần</t>
        </is>
      </c>
      <c r="B1" s="97" t="inlineStr">
        <is>
          <t>Ngày bắt đầu</t>
        </is>
      </c>
      <c r="C1" s="97" t="inlineStr">
        <is>
          <t>Ngày kết thúc</t>
        </is>
      </c>
      <c r="D1" s="97" t="inlineStr">
        <is>
          <t>Mốc nhóm đã chốt</t>
        </is>
      </c>
      <c r="E1" s="97" t="inlineStr">
        <is>
          <t>Chỉ tiêu có căn cứ</t>
        </is>
      </c>
      <c r="F1" s="97" t="inlineStr">
        <is>
          <t>Trạng thái</t>
        </is>
      </c>
    </row>
    <row r="2" ht="85" customHeight="1" s="89">
      <c r="A2" s="98" t="n">
        <v>1</v>
      </c>
      <c r="B2" s="98" t="n"/>
      <c r="C2" s="98" t="n"/>
      <c r="D2" s="98" t="n"/>
      <c r="E2" s="98" t="n"/>
      <c r="F2" s="98" t="inlineStr">
        <is>
          <t>Chưa có lịch/mục tiêu do nhóm xác nhận</t>
        </is>
      </c>
    </row>
    <row r="3" ht="85" customHeight="1" s="89">
      <c r="A3" s="99" t="n">
        <v>2</v>
      </c>
      <c r="B3" s="99" t="n"/>
      <c r="C3" s="99" t="n"/>
      <c r="D3" s="99" t="n"/>
      <c r="E3" s="99" t="n"/>
      <c r="F3" s="99" t="inlineStr">
        <is>
          <t>Chưa có lịch/mục tiêu do nhóm xác nhận</t>
        </is>
      </c>
    </row>
    <row r="4" ht="85" customHeight="1" s="89">
      <c r="A4" s="98" t="n">
        <v>3</v>
      </c>
      <c r="B4" s="98" t="n"/>
      <c r="C4" s="98" t="n"/>
      <c r="D4" s="98" t="n"/>
      <c r="E4" s="98" t="n"/>
      <c r="F4" s="98" t="inlineStr">
        <is>
          <t>Chưa có lịch/mục tiêu do nhóm xác nhận</t>
        </is>
      </c>
    </row>
    <row r="5" ht="85" customHeight="1" s="89">
      <c r="A5" s="99" t="n">
        <v>4</v>
      </c>
      <c r="B5" s="99" t="n"/>
      <c r="C5" s="99" t="n"/>
      <c r="D5" s="99" t="n"/>
      <c r="E5" s="99" t="n"/>
      <c r="F5" s="99" t="inlineStr">
        <is>
          <t>Chưa có lịch/mục tiêu do nhóm xác nhận</t>
        </is>
      </c>
    </row>
    <row r="6" ht="85" customHeight="1" s="89">
      <c r="A6" s="98" t="n">
        <v>5</v>
      </c>
      <c r="B6" s="98" t="n"/>
      <c r="C6" s="98" t="n"/>
      <c r="D6" s="98" t="n"/>
      <c r="E6" s="98" t="n"/>
      <c r="F6" s="98" t="inlineStr">
        <is>
          <t>Chưa có lịch/mục tiêu do nhóm xác nhận</t>
        </is>
      </c>
    </row>
    <row r="7" ht="85" customHeight="1" s="89">
      <c r="A7" s="99" t="n">
        <v>6</v>
      </c>
      <c r="B7" s="99" t="n"/>
      <c r="C7" s="99" t="n"/>
      <c r="D7" s="99" t="n"/>
      <c r="E7" s="99" t="n"/>
      <c r="F7" s="99" t="inlineStr">
        <is>
          <t>Chưa có lịch/mục tiêu do nhóm xác nhận</t>
        </is>
      </c>
    </row>
    <row r="8" ht="85" customHeight="1" s="89">
      <c r="A8" s="98" t="n">
        <v>7</v>
      </c>
      <c r="B8" s="98" t="n"/>
      <c r="C8" s="98" t="n"/>
      <c r="D8" s="98" t="n"/>
      <c r="E8" s="98" t="n"/>
      <c r="F8" s="98" t="inlineStr">
        <is>
          <t>Chưa có lịch/mục tiêu do nhóm xác nhận</t>
        </is>
      </c>
    </row>
    <row r="9" ht="85" customHeight="1" s="89">
      <c r="A9" s="99" t="n">
        <v>8</v>
      </c>
      <c r="B9" s="99" t="n"/>
      <c r="C9" s="99" t="n"/>
      <c r="D9" s="99" t="n"/>
      <c r="E9" s="99" t="n"/>
      <c r="F9" s="99" t="inlineStr">
        <is>
          <t>Chưa có lịch/mục tiêu do nhóm xác nhận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2026-10-18T15:50:33Z</dcterms:created>
  <dcterms:modified xmlns:dcterms="http://purl.org/dc/terms/" xmlns:xsi="http://www.w3.org/2001/XMLSchema-instance" xsi:type="dcterms:W3CDTF">2026-10-18T15:50:33Z</dcterms:modified>
</cp:coreProperties>
</file>